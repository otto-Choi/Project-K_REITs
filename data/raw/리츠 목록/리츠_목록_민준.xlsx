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mpm9\Downloads\"/>
    </mc:Choice>
  </mc:AlternateContent>
  <xr:revisionPtr revIDLastSave="0" documentId="13_ncr:1_{68D988BE-767E-45D5-8E34-54F96228A9F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케이탑리츠2" sheetId="2" r:id="rId1"/>
    <sheet name="한화리츠" sheetId="5" r:id="rId2"/>
    <sheet name="코람코더원리츠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7" i="2"/>
  <c r="J15" i="2"/>
  <c r="J13" i="2"/>
  <c r="J11" i="2"/>
  <c r="J9" i="2"/>
</calcChain>
</file>

<file path=xl/sharedStrings.xml><?xml version="1.0" encoding="utf-8"?>
<sst xmlns="http://schemas.openxmlformats.org/spreadsheetml/2006/main" count="149" uniqueCount="57">
  <si>
    <t>반기</t>
    <phoneticPr fontId="1" type="noConversion"/>
  </si>
  <si>
    <t>당기순이익</t>
    <phoneticPr fontId="1" type="noConversion"/>
  </si>
  <si>
    <t>감가상각비</t>
    <phoneticPr fontId="1" type="noConversion"/>
  </si>
  <si>
    <t>처분이익</t>
    <phoneticPr fontId="1" type="noConversion"/>
  </si>
  <si>
    <t>처분손실</t>
    <phoneticPr fontId="1" type="noConversion"/>
  </si>
  <si>
    <t>평가이익</t>
    <phoneticPr fontId="1" type="noConversion"/>
  </si>
  <si>
    <t>평가손실</t>
    <phoneticPr fontId="1" type="noConversion"/>
  </si>
  <si>
    <t>year</t>
    <phoneticPr fontId="1" type="noConversion"/>
  </si>
  <si>
    <t>semi-year</t>
    <phoneticPr fontId="1" type="noConversion"/>
  </si>
  <si>
    <t>code</t>
    <phoneticPr fontId="1" type="noConversion"/>
  </si>
  <si>
    <t>NI</t>
    <phoneticPr fontId="1" type="noConversion"/>
  </si>
  <si>
    <t>Dep</t>
    <phoneticPr fontId="1" type="noConversion"/>
  </si>
  <si>
    <t>gain_on_disposition</t>
    <phoneticPr fontId="1" type="noConversion"/>
  </si>
  <si>
    <t>gain_on_appreciation</t>
    <phoneticPr fontId="1" type="noConversion"/>
  </si>
  <si>
    <t>dividend</t>
    <phoneticPr fontId="1" type="noConversion"/>
  </si>
  <si>
    <t>연</t>
    <phoneticPr fontId="1" type="noConversion"/>
  </si>
  <si>
    <t>종목코드</t>
    <phoneticPr fontId="1" type="noConversion"/>
  </si>
  <si>
    <t>배당액</t>
    <phoneticPr fontId="1" type="noConversion"/>
  </si>
  <si>
    <t>설명</t>
    <phoneticPr fontId="1" type="noConversion"/>
  </si>
  <si>
    <t>주석 위치 등 기술</t>
    <phoneticPr fontId="1" type="noConversion"/>
  </si>
  <si>
    <t>loss_of_disposition</t>
    <phoneticPr fontId="1" type="noConversion"/>
  </si>
  <si>
    <t>loss_of_appreciation</t>
    <phoneticPr fontId="1" type="noConversion"/>
  </si>
  <si>
    <t>1기</t>
    <phoneticPr fontId="1" type="noConversion"/>
  </si>
  <si>
    <t>주당배당액</t>
    <phoneticPr fontId="1" type="noConversion"/>
  </si>
  <si>
    <t>배당수익률</t>
    <phoneticPr fontId="1" type="noConversion"/>
  </si>
  <si>
    <t>2기</t>
    <phoneticPr fontId="1" type="noConversion"/>
  </si>
  <si>
    <t>발행주식수</t>
    <phoneticPr fontId="1" type="noConversion"/>
  </si>
  <si>
    <t>1,2기</t>
  </si>
  <si>
    <t>1,2기</t>
    <phoneticPr fontId="1" type="noConversion"/>
  </si>
  <si>
    <t>20220510-20220915</t>
    <phoneticPr fontId="1" type="noConversion"/>
  </si>
  <si>
    <t>20220916-20221025</t>
    <phoneticPr fontId="1" type="noConversion"/>
  </si>
  <si>
    <t>20221026-2023040</t>
    <phoneticPr fontId="1" type="noConversion"/>
  </si>
  <si>
    <t>20230501-20231031</t>
    <phoneticPr fontId="1" type="noConversion"/>
  </si>
  <si>
    <t>20230501-20230731</t>
    <phoneticPr fontId="1" type="noConversion"/>
  </si>
  <si>
    <t>20231101-20240131</t>
    <phoneticPr fontId="1" type="noConversion"/>
  </si>
  <si>
    <t>2,1기</t>
    <phoneticPr fontId="1" type="noConversion"/>
  </si>
  <si>
    <t>20231101-20240430</t>
    <phoneticPr fontId="1" type="noConversion"/>
  </si>
  <si>
    <t>20240501-20240731</t>
    <phoneticPr fontId="1" type="noConversion"/>
  </si>
  <si>
    <t>20241101-20250131</t>
    <phoneticPr fontId="1" type="noConversion"/>
  </si>
  <si>
    <t>20240501-20241031</t>
    <phoneticPr fontId="1" type="noConversion"/>
  </si>
  <si>
    <t>20241101-20250430</t>
    <phoneticPr fontId="1" type="noConversion"/>
  </si>
  <si>
    <t>20220101-20220228</t>
    <phoneticPr fontId="1" type="noConversion"/>
  </si>
  <si>
    <t>20220301-20220531</t>
    <phoneticPr fontId="1" type="noConversion"/>
  </si>
  <si>
    <t>20220601-20220831</t>
    <phoneticPr fontId="1" type="noConversion"/>
  </si>
  <si>
    <t>20220901-20221130</t>
    <phoneticPr fontId="1" type="noConversion"/>
  </si>
  <si>
    <t>20221201-20230228</t>
    <phoneticPr fontId="1" type="noConversion"/>
  </si>
  <si>
    <t>20230301-20230531</t>
    <phoneticPr fontId="1" type="noConversion"/>
  </si>
  <si>
    <t>20230601-20230831</t>
    <phoneticPr fontId="1" type="noConversion"/>
  </si>
  <si>
    <t>20230901-20231130</t>
    <phoneticPr fontId="1" type="noConversion"/>
  </si>
  <si>
    <t>20231201-20240229</t>
    <phoneticPr fontId="1" type="noConversion"/>
  </si>
  <si>
    <t>20240301-20240530</t>
    <phoneticPr fontId="1" type="noConversion"/>
  </si>
  <si>
    <t>20240601-20240831</t>
    <phoneticPr fontId="1" type="noConversion"/>
  </si>
  <si>
    <t>20240901-20241130</t>
    <phoneticPr fontId="1" type="noConversion"/>
  </si>
  <si>
    <t>20241201-20250228</t>
    <phoneticPr fontId="1" type="noConversion"/>
  </si>
  <si>
    <t>2, 1기</t>
    <phoneticPr fontId="1" type="noConversion"/>
  </si>
  <si>
    <t>20250301-20250531</t>
    <phoneticPr fontId="1" type="noConversion"/>
  </si>
  <si>
    <t>20250601-20250831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</si>
</sst>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6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6"/>
      <color theme="1"/>
      <name val="맑은 고딕"/>
      <family val="3"/>
      <charset val="129"/>
      <scheme val="minor"/>
    </font>
    <font>
      <sz val="6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sz val="6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2" fillId="0" borderId="0" xfId="0" applyFont="1"/>
    <xf numFmtId="3" fontId="3" fillId="0" borderId="1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42" fontId="4" fillId="0" borderId="0" xfId="0" applyNumberFormat="1" applyFont="1"/>
    <xf numFmtId="42" fontId="5" fillId="0" borderId="0" xfId="0" applyNumberFormat="1" applyFont="1"/>
    <xf numFmtId="42" fontId="5" fillId="0" borderId="2" xfId="0" applyNumberFormat="1" applyFont="1" applyBorder="1" applyAlignment="1">
      <alignment horizontal="right" vertical="center" wrapText="1"/>
    </xf>
    <xf numFmtId="42" fontId="5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42" fontId="4" fillId="0" borderId="0" xfId="0" applyNumberFormat="1" applyFont="1" applyAlignment="1">
      <alignment wrapText="1"/>
    </xf>
    <xf numFmtId="3" fontId="6" fillId="0" borderId="1" xfId="0" applyNumberFormat="1" applyFont="1" applyBorder="1" applyAlignment="1">
      <alignment horizontal="right" vertical="center" wrapText="1"/>
    </xf>
    <xf numFmtId="3" fontId="7" fillId="0" borderId="0" xfId="0" applyNumberFormat="1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8196-880E-4B62-B320-D57854523825}">
  <dimension ref="A1:N53"/>
  <sheetViews>
    <sheetView zoomScale="85" zoomScaleNormal="85" workbookViewId="0">
      <selection activeCell="A13" sqref="A13"/>
    </sheetView>
  </sheetViews>
  <sheetFormatPr defaultRowHeight="17.399999999999999" x14ac:dyDescent="0.4"/>
  <cols>
    <col min="1" max="3" width="10.59765625" customWidth="1"/>
    <col min="4" max="4" width="15.3984375" customWidth="1"/>
    <col min="5" max="10" width="10.59765625" customWidth="1"/>
    <col min="11" max="13" width="11.69921875" customWidth="1"/>
    <col min="14" max="14" width="16.69921875" customWidth="1"/>
  </cols>
  <sheetData>
    <row r="1" spans="1:14" x14ac:dyDescent="0.4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20</v>
      </c>
      <c r="H1" s="8" t="s">
        <v>13</v>
      </c>
      <c r="I1" s="8" t="s">
        <v>21</v>
      </c>
      <c r="J1" s="8" t="s">
        <v>14</v>
      </c>
      <c r="K1" s="8"/>
      <c r="N1" t="s">
        <v>18</v>
      </c>
    </row>
    <row r="2" spans="1:14" x14ac:dyDescent="0.4">
      <c r="A2" s="8" t="s">
        <v>15</v>
      </c>
      <c r="B2" s="8" t="s">
        <v>0</v>
      </c>
      <c r="C2" s="8" t="s">
        <v>16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17</v>
      </c>
      <c r="K2" s="8" t="s">
        <v>23</v>
      </c>
      <c r="L2" t="s">
        <v>24</v>
      </c>
      <c r="M2" t="s">
        <v>26</v>
      </c>
      <c r="N2" t="s">
        <v>19</v>
      </c>
    </row>
    <row r="3" spans="1:14" x14ac:dyDescent="0.4">
      <c r="A3" s="8"/>
      <c r="B3" s="8"/>
      <c r="C3" s="8"/>
      <c r="D3" s="8">
        <v>-84791990</v>
      </c>
      <c r="E3" s="8">
        <v>417255</v>
      </c>
      <c r="F3" s="8"/>
      <c r="G3" s="8"/>
      <c r="H3" s="8"/>
      <c r="I3" s="8"/>
      <c r="J3" s="8"/>
      <c r="K3" s="8"/>
    </row>
    <row r="4" spans="1:14" x14ac:dyDescent="0.4">
      <c r="A4" s="8">
        <v>2011</v>
      </c>
      <c r="B4" s="8" t="s">
        <v>28</v>
      </c>
      <c r="C4" s="8"/>
      <c r="D4" s="8">
        <v>-671543119</v>
      </c>
      <c r="E4" s="8">
        <v>41343407</v>
      </c>
      <c r="F4" s="8"/>
      <c r="G4" s="8"/>
      <c r="H4" s="8"/>
      <c r="I4" s="8"/>
      <c r="J4" s="8"/>
      <c r="K4" s="8"/>
    </row>
    <row r="5" spans="1:14" x14ac:dyDescent="0.4">
      <c r="A5" s="8">
        <v>2013</v>
      </c>
      <c r="B5" s="8" t="s">
        <v>28</v>
      </c>
      <c r="C5" s="8"/>
      <c r="D5" s="9">
        <v>3609177104</v>
      </c>
      <c r="E5" s="9">
        <v>16522128</v>
      </c>
      <c r="F5" s="10"/>
      <c r="G5" s="8"/>
      <c r="H5" s="8"/>
      <c r="I5" s="8"/>
      <c r="J5" s="8"/>
      <c r="K5" s="8"/>
      <c r="M5" s="2"/>
    </row>
    <row r="6" spans="1:14" x14ac:dyDescent="0.4">
      <c r="A6" s="8">
        <v>2014</v>
      </c>
      <c r="B6" s="8" t="s">
        <v>28</v>
      </c>
      <c r="C6" s="8"/>
      <c r="D6" s="9">
        <v>3735230119</v>
      </c>
      <c r="E6" s="11">
        <v>34272835</v>
      </c>
      <c r="F6" s="10"/>
      <c r="G6" s="8"/>
      <c r="H6" s="9">
        <v>2829075000</v>
      </c>
      <c r="I6" s="8"/>
      <c r="J6" s="9">
        <v>1734720000</v>
      </c>
      <c r="K6" s="9">
        <v>320</v>
      </c>
      <c r="L6" s="3"/>
      <c r="M6" s="2"/>
    </row>
    <row r="7" spans="1:14" x14ac:dyDescent="0.4">
      <c r="A7" s="8">
        <v>2015</v>
      </c>
      <c r="B7" s="8" t="s">
        <v>28</v>
      </c>
      <c r="C7" s="8"/>
      <c r="D7" s="11">
        <v>4477509600</v>
      </c>
      <c r="E7" s="11">
        <v>36212186</v>
      </c>
      <c r="F7" s="8"/>
      <c r="G7" s="8"/>
      <c r="H7" s="9">
        <v>3483201000</v>
      </c>
      <c r="I7" s="8"/>
      <c r="J7" s="9">
        <v>1656300000</v>
      </c>
      <c r="K7" s="9">
        <v>60</v>
      </c>
    </row>
    <row r="8" spans="1:14" x14ac:dyDescent="0.4">
      <c r="A8" s="8">
        <v>2016</v>
      </c>
      <c r="B8" s="8" t="s">
        <v>22</v>
      </c>
      <c r="C8" s="8"/>
      <c r="D8" s="2">
        <v>920546009</v>
      </c>
      <c r="E8" s="4">
        <v>22425346</v>
      </c>
      <c r="F8" s="2">
        <v>174000000</v>
      </c>
      <c r="G8" s="8"/>
      <c r="H8" s="9"/>
      <c r="I8" s="8"/>
      <c r="J8" s="9">
        <v>0</v>
      </c>
      <c r="K8" s="9">
        <v>0</v>
      </c>
    </row>
    <row r="9" spans="1:14" x14ac:dyDescent="0.4">
      <c r="A9" s="8">
        <v>2016</v>
      </c>
      <c r="B9" s="8" t="s">
        <v>28</v>
      </c>
      <c r="C9" s="8"/>
      <c r="D9" s="9">
        <v>2682051616</v>
      </c>
      <c r="E9" s="9">
        <v>72173563</v>
      </c>
      <c r="F9" s="9">
        <v>174000000</v>
      </c>
      <c r="G9" s="8"/>
      <c r="H9" s="9">
        <v>1194423000</v>
      </c>
      <c r="I9" s="8"/>
      <c r="J9" s="9">
        <f>(812+812)*1000000</f>
        <v>1624000000</v>
      </c>
      <c r="K9" s="9">
        <v>20</v>
      </c>
    </row>
    <row r="10" spans="1:14" x14ac:dyDescent="0.4">
      <c r="A10" s="8">
        <v>2017</v>
      </c>
      <c r="B10" s="8" t="s">
        <v>22</v>
      </c>
      <c r="C10" s="8"/>
      <c r="D10" s="9">
        <v>698603379</v>
      </c>
      <c r="E10" s="2">
        <v>56224067</v>
      </c>
      <c r="F10" s="9"/>
      <c r="G10" s="8"/>
      <c r="H10" s="9"/>
      <c r="I10" s="8"/>
      <c r="J10" s="9">
        <v>0</v>
      </c>
      <c r="K10" s="9">
        <v>0</v>
      </c>
    </row>
    <row r="11" spans="1:14" ht="14.25" customHeight="1" x14ac:dyDescent="0.4">
      <c r="A11" s="8">
        <v>2017</v>
      </c>
      <c r="B11" s="8" t="s">
        <v>28</v>
      </c>
      <c r="C11" s="8"/>
      <c r="D11" s="9">
        <v>2479301924</v>
      </c>
      <c r="E11" s="9">
        <v>112904764</v>
      </c>
      <c r="F11" s="8"/>
      <c r="G11" s="8"/>
      <c r="H11" s="9">
        <v>1073289000</v>
      </c>
      <c r="I11" s="8"/>
      <c r="J11" s="9">
        <f>(866+866)*1000000</f>
        <v>1732000000</v>
      </c>
      <c r="K11" s="9">
        <v>20</v>
      </c>
    </row>
    <row r="12" spans="1:14" ht="14.25" customHeight="1" x14ac:dyDescent="0.4">
      <c r="A12" s="8">
        <v>2018</v>
      </c>
      <c r="B12" s="8" t="s">
        <v>22</v>
      </c>
      <c r="C12" s="8"/>
      <c r="D12" s="9">
        <v>1095831518</v>
      </c>
      <c r="E12" s="9">
        <v>55919152</v>
      </c>
      <c r="F12" s="8"/>
      <c r="G12" s="8"/>
      <c r="H12" s="9"/>
      <c r="I12" s="8"/>
      <c r="J12" s="9"/>
      <c r="K12" s="9"/>
    </row>
    <row r="13" spans="1:14" x14ac:dyDescent="0.4">
      <c r="A13" s="8">
        <v>2018</v>
      </c>
      <c r="B13" s="8" t="s">
        <v>28</v>
      </c>
      <c r="C13" s="8"/>
      <c r="D13" s="2">
        <v>3344586451</v>
      </c>
      <c r="E13" s="2">
        <v>112664675</v>
      </c>
      <c r="F13" s="8"/>
      <c r="G13" s="8"/>
      <c r="H13" s="2">
        <v>907565000</v>
      </c>
      <c r="I13" s="8"/>
      <c r="J13" s="9">
        <f>(884+884)*1000000</f>
        <v>1768000000</v>
      </c>
      <c r="K13" s="3">
        <v>20</v>
      </c>
    </row>
    <row r="14" spans="1:14" x14ac:dyDescent="0.4">
      <c r="A14" s="8">
        <v>2019</v>
      </c>
      <c r="B14" s="8" t="s">
        <v>22</v>
      </c>
      <c r="C14" s="8"/>
      <c r="D14" s="2">
        <v>1236076351</v>
      </c>
      <c r="E14" s="2">
        <v>57055860</v>
      </c>
      <c r="F14" s="8"/>
      <c r="G14" s="8"/>
      <c r="H14" s="2"/>
      <c r="I14" s="8"/>
      <c r="J14" s="9"/>
      <c r="K14" s="3"/>
    </row>
    <row r="15" spans="1:14" x14ac:dyDescent="0.4">
      <c r="A15" s="8">
        <v>2019</v>
      </c>
      <c r="B15" s="8" t="s">
        <v>27</v>
      </c>
      <c r="C15" s="8"/>
      <c r="D15" s="2">
        <v>5439619766</v>
      </c>
      <c r="E15" s="2">
        <v>119541182</v>
      </c>
      <c r="F15" s="8"/>
      <c r="G15" s="8"/>
      <c r="H15" s="2">
        <v>3163234000</v>
      </c>
      <c r="I15" s="8"/>
      <c r="J15" s="9">
        <f>(1127+1127)*1000000</f>
        <v>2254000000</v>
      </c>
      <c r="K15" s="7">
        <v>25</v>
      </c>
      <c r="L15" s="5"/>
    </row>
    <row r="16" spans="1:14" x14ac:dyDescent="0.4">
      <c r="A16" s="8">
        <v>2020</v>
      </c>
      <c r="B16" s="8" t="s">
        <v>22</v>
      </c>
      <c r="C16" s="8"/>
      <c r="D16" s="2">
        <v>1743678791</v>
      </c>
      <c r="E16" s="2">
        <v>57636344</v>
      </c>
      <c r="F16" s="8"/>
      <c r="G16" s="8"/>
      <c r="H16" s="2"/>
      <c r="I16" s="8"/>
      <c r="J16" s="9"/>
      <c r="K16" s="12"/>
      <c r="L16" s="12"/>
    </row>
    <row r="17" spans="1:12" x14ac:dyDescent="0.4">
      <c r="A17" s="8">
        <v>2020</v>
      </c>
      <c r="B17" s="8" t="s">
        <v>27</v>
      </c>
      <c r="C17" s="8"/>
      <c r="D17" s="6">
        <v>11157583700</v>
      </c>
      <c r="E17" s="2">
        <v>114507394</v>
      </c>
      <c r="F17" s="8"/>
      <c r="G17" s="2">
        <v>330022</v>
      </c>
      <c r="H17" s="2">
        <v>9502876000</v>
      </c>
      <c r="I17" s="8"/>
      <c r="J17" s="9">
        <f>(3697)*1000000</f>
        <v>3697000000</v>
      </c>
      <c r="K17" s="3">
        <v>80</v>
      </c>
    </row>
    <row r="18" spans="1:12" x14ac:dyDescent="0.4">
      <c r="A18" s="8">
        <v>2021</v>
      </c>
      <c r="B18" s="8" t="s">
        <v>22</v>
      </c>
      <c r="C18" s="8"/>
      <c r="D18" s="13">
        <v>2015628101</v>
      </c>
      <c r="E18" s="2">
        <v>39580015</v>
      </c>
      <c r="F18" s="8"/>
      <c r="G18" s="2"/>
      <c r="H18" s="2"/>
      <c r="I18" s="8"/>
      <c r="J18" s="9"/>
      <c r="K18" s="3"/>
    </row>
    <row r="19" spans="1:12" x14ac:dyDescent="0.4">
      <c r="A19" s="8">
        <v>2021</v>
      </c>
      <c r="B19" s="8" t="s">
        <v>27</v>
      </c>
      <c r="C19" s="8"/>
      <c r="D19" s="1">
        <v>11484351110</v>
      </c>
      <c r="E19" s="8">
        <v>81785214</v>
      </c>
      <c r="F19" s="8"/>
      <c r="G19" s="8"/>
      <c r="H19" s="2">
        <v>18630680000</v>
      </c>
      <c r="I19" s="8"/>
      <c r="J19" s="9">
        <f>(1836+1837)*1000000</f>
        <v>3673000000</v>
      </c>
      <c r="K19" s="7">
        <v>40</v>
      </c>
      <c r="L19" s="5"/>
    </row>
    <row r="20" spans="1:12" x14ac:dyDescent="0.4">
      <c r="A20" s="8">
        <v>2022</v>
      </c>
      <c r="B20" s="8" t="s">
        <v>22</v>
      </c>
      <c r="C20" s="8"/>
      <c r="D20" s="2">
        <v>1555632713</v>
      </c>
      <c r="E20" s="2">
        <v>34684362</v>
      </c>
      <c r="F20" s="8"/>
      <c r="G20" s="8"/>
      <c r="H20" s="8"/>
      <c r="I20" s="8"/>
      <c r="J20" s="8"/>
      <c r="K20" s="8"/>
    </row>
    <row r="21" spans="1:12" x14ac:dyDescent="0.4">
      <c r="A21" s="8">
        <v>2022</v>
      </c>
      <c r="B21" s="8" t="s">
        <v>27</v>
      </c>
      <c r="C21" s="8"/>
      <c r="D21" s="8">
        <v>9903309943</v>
      </c>
      <c r="E21" s="14">
        <v>82012504</v>
      </c>
      <c r="F21" s="8"/>
      <c r="G21" s="8"/>
      <c r="H21" s="8">
        <v>6122352000</v>
      </c>
      <c r="I21" s="8"/>
      <c r="J21" s="15">
        <v>5157000000</v>
      </c>
      <c r="K21" s="3">
        <v>108</v>
      </c>
    </row>
    <row r="22" spans="1:12" x14ac:dyDescent="0.4">
      <c r="A22" s="8">
        <v>2023</v>
      </c>
      <c r="B22" s="8" t="s">
        <v>22</v>
      </c>
      <c r="C22" s="8"/>
      <c r="D22" s="8">
        <v>830239604</v>
      </c>
      <c r="E22" s="8">
        <v>39536680</v>
      </c>
      <c r="F22" s="8"/>
      <c r="G22" s="8"/>
      <c r="H22" s="8"/>
      <c r="I22" s="2">
        <v>7004216000</v>
      </c>
      <c r="J22" s="8"/>
      <c r="K22" s="8"/>
    </row>
    <row r="23" spans="1:12" x14ac:dyDescent="0.4">
      <c r="A23" s="8">
        <v>2023</v>
      </c>
      <c r="B23" s="8" t="s">
        <v>27</v>
      </c>
      <c r="C23" s="8"/>
      <c r="D23" s="8">
        <v>11766157980</v>
      </c>
      <c r="E23" s="8">
        <v>87016244</v>
      </c>
      <c r="F23" s="2">
        <v>2084544000</v>
      </c>
      <c r="G23" s="8"/>
      <c r="H23" s="8">
        <v>12153840000</v>
      </c>
      <c r="I23" s="8"/>
      <c r="J23" s="2">
        <v>4536000000</v>
      </c>
      <c r="K23" s="3">
        <v>95</v>
      </c>
    </row>
    <row r="24" spans="1:12" x14ac:dyDescent="0.4">
      <c r="A24" s="8">
        <v>2024</v>
      </c>
      <c r="B24" s="8" t="s">
        <v>22</v>
      </c>
      <c r="D24" s="8">
        <v>1019551673</v>
      </c>
      <c r="E24" s="8">
        <v>43905907</v>
      </c>
      <c r="F24" s="8"/>
      <c r="G24" s="8"/>
      <c r="H24" s="8"/>
      <c r="I24" s="8"/>
      <c r="J24" s="8"/>
      <c r="K24" s="8"/>
    </row>
    <row r="25" spans="1:12" x14ac:dyDescent="0.4">
      <c r="A25" s="8">
        <v>2024</v>
      </c>
      <c r="B25" s="8" t="s">
        <v>27</v>
      </c>
      <c r="C25" s="8"/>
      <c r="D25" s="8">
        <v>5265475559</v>
      </c>
      <c r="E25" s="8">
        <v>105189271</v>
      </c>
      <c r="F25" s="8"/>
      <c r="G25" s="8"/>
      <c r="H25" s="8">
        <v>3026467000</v>
      </c>
      <c r="I25" s="8"/>
      <c r="J25" s="2">
        <v>3224000000</v>
      </c>
      <c r="K25" s="3">
        <v>68</v>
      </c>
    </row>
    <row r="26" spans="1:12" x14ac:dyDescent="0.4">
      <c r="A26" s="8">
        <v>2025</v>
      </c>
      <c r="B26" s="8" t="s">
        <v>22</v>
      </c>
      <c r="C26" s="8"/>
      <c r="D26" s="8">
        <v>457152926</v>
      </c>
      <c r="E26" s="8">
        <v>57689567</v>
      </c>
      <c r="F26" s="8"/>
      <c r="G26" s="8"/>
      <c r="H26" s="8"/>
      <c r="I26" s="8"/>
      <c r="J26" s="8"/>
      <c r="K26" s="8"/>
    </row>
    <row r="27" spans="1:12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2" x14ac:dyDescent="0.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2" x14ac:dyDescent="0.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2" x14ac:dyDescent="0.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2" x14ac:dyDescent="0.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2" x14ac:dyDescent="0.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x14ac:dyDescent="0.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x14ac:dyDescent="0.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x14ac:dyDescent="0.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x14ac:dyDescent="0.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x14ac:dyDescent="0.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x14ac:dyDescent="0.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x14ac:dyDescent="0.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x14ac:dyDescent="0.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x14ac:dyDescent="0.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x14ac:dyDescent="0.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x14ac:dyDescent="0.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x14ac:dyDescent="0.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x14ac:dyDescent="0.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x14ac:dyDescent="0.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103B-33A1-4111-AC5F-A6F59C645029}">
  <dimension ref="A1:O13"/>
  <sheetViews>
    <sheetView workbookViewId="0">
      <selection activeCell="C8" sqref="C8"/>
    </sheetView>
  </sheetViews>
  <sheetFormatPr defaultRowHeight="17.399999999999999" x14ac:dyDescent="0.4"/>
  <cols>
    <col min="2" max="2" width="12.5" customWidth="1"/>
    <col min="5" max="5" width="13.09765625" customWidth="1"/>
    <col min="6" max="6" width="12.19921875" bestFit="1" customWidth="1"/>
    <col min="11" max="11" width="13.296875" bestFit="1" customWidth="1"/>
  </cols>
  <sheetData>
    <row r="1" spans="1:15" x14ac:dyDescent="0.4">
      <c r="A1" s="8" t="s">
        <v>7</v>
      </c>
      <c r="B1" s="8"/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20</v>
      </c>
      <c r="I1" s="8" t="s">
        <v>13</v>
      </c>
      <c r="J1" s="8" t="s">
        <v>21</v>
      </c>
      <c r="K1" s="8" t="s">
        <v>14</v>
      </c>
      <c r="L1" s="8"/>
      <c r="O1" t="s">
        <v>18</v>
      </c>
    </row>
    <row r="2" spans="1:15" x14ac:dyDescent="0.4">
      <c r="A2" s="8" t="s">
        <v>15</v>
      </c>
      <c r="B2" s="8"/>
      <c r="C2" s="8" t="s">
        <v>0</v>
      </c>
      <c r="D2" s="8" t="s">
        <v>16</v>
      </c>
      <c r="E2" s="8" t="s">
        <v>1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  <c r="K2" s="8" t="s">
        <v>17</v>
      </c>
      <c r="L2" s="8" t="s">
        <v>23</v>
      </c>
      <c r="M2" t="s">
        <v>24</v>
      </c>
      <c r="N2" t="s">
        <v>26</v>
      </c>
      <c r="O2" t="s">
        <v>19</v>
      </c>
    </row>
    <row r="3" spans="1:15" x14ac:dyDescent="0.4">
      <c r="A3" s="8">
        <v>2022</v>
      </c>
      <c r="B3" s="8" t="s">
        <v>29</v>
      </c>
      <c r="C3" s="8" t="s">
        <v>28</v>
      </c>
      <c r="D3" s="8"/>
      <c r="E3" s="9">
        <v>19492</v>
      </c>
      <c r="F3" s="9"/>
      <c r="G3" s="10"/>
      <c r="H3" s="8"/>
      <c r="I3" s="8"/>
      <c r="J3" s="8"/>
      <c r="K3" s="8"/>
      <c r="L3" s="8"/>
      <c r="N3" s="2"/>
    </row>
    <row r="4" spans="1:15" x14ac:dyDescent="0.4">
      <c r="A4" s="8">
        <v>2022</v>
      </c>
      <c r="B4" s="8" t="s">
        <v>30</v>
      </c>
      <c r="C4" s="8" t="s">
        <v>25</v>
      </c>
      <c r="D4" s="8"/>
      <c r="E4" s="9">
        <v>74298</v>
      </c>
      <c r="F4" s="11"/>
      <c r="G4" s="10"/>
      <c r="H4" s="8"/>
      <c r="I4" s="9"/>
      <c r="J4" s="8"/>
      <c r="K4" s="9"/>
      <c r="L4" s="9"/>
      <c r="M4" s="3"/>
      <c r="N4" s="2"/>
    </row>
    <row r="5" spans="1:15" x14ac:dyDescent="0.4">
      <c r="A5" s="8">
        <v>2023</v>
      </c>
      <c r="B5" s="8" t="s">
        <v>31</v>
      </c>
      <c r="C5" s="8" t="s">
        <v>22</v>
      </c>
      <c r="D5" s="8"/>
      <c r="E5" s="11">
        <v>1203348207</v>
      </c>
      <c r="F5" s="11">
        <v>3316240000</v>
      </c>
      <c r="G5" s="8"/>
      <c r="H5" s="8"/>
      <c r="I5" s="9"/>
      <c r="J5" s="8"/>
      <c r="K5" s="2">
        <v>9261000000</v>
      </c>
      <c r="L5" s="3">
        <v>131</v>
      </c>
    </row>
    <row r="6" spans="1:15" x14ac:dyDescent="0.4">
      <c r="A6" s="8">
        <v>2023</v>
      </c>
      <c r="B6" s="8" t="s">
        <v>33</v>
      </c>
      <c r="C6" s="8" t="s">
        <v>28</v>
      </c>
      <c r="E6" s="1">
        <v>1947027851</v>
      </c>
      <c r="F6" s="1">
        <v>2007198000</v>
      </c>
    </row>
    <row r="7" spans="1:15" x14ac:dyDescent="0.4">
      <c r="A7" s="8">
        <v>2023</v>
      </c>
      <c r="B7" s="8" t="s">
        <v>32</v>
      </c>
      <c r="C7" s="8" t="s">
        <v>28</v>
      </c>
      <c r="E7" s="1">
        <v>2781452282</v>
      </c>
      <c r="F7" s="1">
        <v>4014396000</v>
      </c>
      <c r="K7" s="2">
        <v>11155000000</v>
      </c>
      <c r="L7" s="7">
        <v>158</v>
      </c>
      <c r="M7" s="5"/>
    </row>
    <row r="8" spans="1:15" x14ac:dyDescent="0.4">
      <c r="A8" s="8">
        <v>2024</v>
      </c>
      <c r="B8" s="8" t="s">
        <v>34</v>
      </c>
      <c r="C8" s="8" t="s">
        <v>35</v>
      </c>
      <c r="E8" s="1">
        <v>1493748910</v>
      </c>
      <c r="F8" s="1">
        <v>2007198000</v>
      </c>
    </row>
    <row r="9" spans="1:15" x14ac:dyDescent="0.4">
      <c r="A9" s="8">
        <v>2024</v>
      </c>
      <c r="B9" s="8" t="s">
        <v>36</v>
      </c>
      <c r="C9" s="8" t="s">
        <v>35</v>
      </c>
      <c r="E9" s="1">
        <v>3204444953</v>
      </c>
      <c r="F9" s="1">
        <v>3955811000</v>
      </c>
      <c r="K9" s="1">
        <v>11084000000</v>
      </c>
      <c r="L9" s="3">
        <v>157</v>
      </c>
    </row>
    <row r="10" spans="1:15" x14ac:dyDescent="0.4">
      <c r="A10" s="8">
        <v>2024</v>
      </c>
      <c r="B10" s="8" t="s">
        <v>37</v>
      </c>
      <c r="C10" s="8" t="s">
        <v>28</v>
      </c>
      <c r="E10" s="1">
        <v>1457492133</v>
      </c>
      <c r="F10" s="1">
        <v>2010385000</v>
      </c>
    </row>
    <row r="11" spans="1:15" x14ac:dyDescent="0.4">
      <c r="A11" s="8">
        <v>2024</v>
      </c>
      <c r="B11" s="8" t="s">
        <v>39</v>
      </c>
      <c r="C11" s="8" t="s">
        <v>28</v>
      </c>
      <c r="E11" s="1">
        <v>2799718358</v>
      </c>
      <c r="F11" s="1">
        <v>4832809000</v>
      </c>
      <c r="K11" s="2">
        <v>11155000000</v>
      </c>
      <c r="L11" s="7">
        <v>158</v>
      </c>
      <c r="M11" s="5"/>
    </row>
    <row r="12" spans="1:15" x14ac:dyDescent="0.4">
      <c r="A12" s="8">
        <v>2025</v>
      </c>
      <c r="B12" s="8" t="s">
        <v>38</v>
      </c>
      <c r="C12" s="8" t="s">
        <v>35</v>
      </c>
      <c r="E12" s="1">
        <v>5544196507</v>
      </c>
      <c r="F12" s="1">
        <v>3212552000</v>
      </c>
      <c r="K12" s="2">
        <v>24246000000</v>
      </c>
      <c r="L12" s="3">
        <v>135</v>
      </c>
    </row>
    <row r="13" spans="1:15" x14ac:dyDescent="0.4">
      <c r="A13" s="8">
        <v>2025</v>
      </c>
      <c r="B13" s="8" t="s">
        <v>40</v>
      </c>
      <c r="C13" s="8" t="s">
        <v>35</v>
      </c>
      <c r="E13" s="1">
        <v>10791907422</v>
      </c>
      <c r="F13" s="1">
        <v>3212552000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4951-5DA7-4B7D-9F7F-75323621F1C5}">
  <dimension ref="A1:N18"/>
  <sheetViews>
    <sheetView tabSelected="1" workbookViewId="0">
      <selection activeCell="C8" sqref="C8"/>
    </sheetView>
  </sheetViews>
  <sheetFormatPr defaultRowHeight="17.399999999999999" x14ac:dyDescent="0.4"/>
  <cols>
    <col min="2" max="2" width="12.69921875" customWidth="1"/>
    <col min="5" max="5" width="14.19921875" bestFit="1" customWidth="1"/>
    <col min="6" max="6" width="14.3984375" bestFit="1" customWidth="1"/>
    <col min="11" max="11" width="13.796875" bestFit="1" customWidth="1"/>
  </cols>
  <sheetData>
    <row r="1" spans="1:14" x14ac:dyDescent="0.4">
      <c r="A1" s="8" t="s">
        <v>7</v>
      </c>
      <c r="B1" s="8"/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20</v>
      </c>
      <c r="I1" s="8" t="s">
        <v>13</v>
      </c>
      <c r="J1" s="8" t="s">
        <v>21</v>
      </c>
      <c r="K1" s="8" t="s">
        <v>14</v>
      </c>
      <c r="L1" s="8"/>
      <c r="N1" t="s">
        <v>18</v>
      </c>
    </row>
    <row r="2" spans="1:14" x14ac:dyDescent="0.4">
      <c r="A2" s="8" t="s">
        <v>15</v>
      </c>
      <c r="B2" s="8"/>
      <c r="C2" s="8" t="s">
        <v>0</v>
      </c>
      <c r="D2" s="8" t="s">
        <v>16</v>
      </c>
      <c r="E2" s="8" t="s">
        <v>1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  <c r="K2" s="8" t="s">
        <v>17</v>
      </c>
      <c r="L2" s="8" t="s">
        <v>23</v>
      </c>
      <c r="M2" t="s">
        <v>26</v>
      </c>
      <c r="N2" t="s">
        <v>19</v>
      </c>
    </row>
    <row r="3" spans="1:14" x14ac:dyDescent="0.4">
      <c r="A3" s="8"/>
      <c r="B3" s="8"/>
      <c r="C3" s="8"/>
      <c r="D3" s="8"/>
      <c r="E3" s="2">
        <v>2685766036</v>
      </c>
      <c r="F3" s="8">
        <v>1739024000</v>
      </c>
      <c r="G3" s="8"/>
      <c r="H3" s="8"/>
      <c r="I3" s="8"/>
      <c r="J3" s="8"/>
      <c r="K3" s="8"/>
      <c r="L3" s="8"/>
    </row>
    <row r="4" spans="1:14" x14ac:dyDescent="0.4">
      <c r="A4" s="8">
        <v>2022</v>
      </c>
      <c r="B4" s="8" t="s">
        <v>41</v>
      </c>
      <c r="C4" s="8" t="s">
        <v>22</v>
      </c>
      <c r="D4" s="8"/>
      <c r="E4" s="2">
        <v>734610246</v>
      </c>
      <c r="F4" s="9">
        <v>579675000</v>
      </c>
      <c r="G4" s="10"/>
      <c r="H4" s="8"/>
      <c r="I4" s="8"/>
      <c r="J4" s="8"/>
      <c r="K4" s="4">
        <v>1314000000</v>
      </c>
      <c r="L4" s="3">
        <v>62</v>
      </c>
      <c r="M4" s="2"/>
    </row>
    <row r="5" spans="1:14" x14ac:dyDescent="0.4">
      <c r="A5" s="8">
        <v>2022</v>
      </c>
      <c r="B5" s="8" t="s">
        <v>42</v>
      </c>
      <c r="C5" s="8" t="s">
        <v>22</v>
      </c>
      <c r="D5" s="8"/>
      <c r="E5" s="2">
        <v>2555126805</v>
      </c>
      <c r="F5" s="11">
        <v>869512077</v>
      </c>
      <c r="G5" s="10"/>
      <c r="H5" s="8"/>
      <c r="I5" s="9"/>
      <c r="J5" s="8"/>
      <c r="K5" s="2">
        <v>3425000000</v>
      </c>
      <c r="L5" s="3">
        <v>84</v>
      </c>
      <c r="M5" s="2"/>
    </row>
    <row r="6" spans="1:14" x14ac:dyDescent="0.4">
      <c r="A6" s="8">
        <v>2022</v>
      </c>
      <c r="B6" s="8" t="s">
        <v>43</v>
      </c>
      <c r="C6" s="8" t="s">
        <v>25</v>
      </c>
      <c r="D6" s="8"/>
      <c r="E6" s="11">
        <v>1563444824</v>
      </c>
      <c r="F6" s="11">
        <v>869512077</v>
      </c>
      <c r="G6" s="8"/>
      <c r="H6" s="8"/>
      <c r="I6" s="9"/>
      <c r="J6" s="8"/>
      <c r="K6" s="2">
        <v>2433000000</v>
      </c>
      <c r="L6" s="3">
        <v>60</v>
      </c>
    </row>
    <row r="7" spans="1:14" x14ac:dyDescent="0.4">
      <c r="A7" s="8">
        <v>2022</v>
      </c>
      <c r="B7" s="8" t="s">
        <v>44</v>
      </c>
      <c r="C7" s="8" t="s">
        <v>25</v>
      </c>
      <c r="E7" s="16">
        <v>2597076135</v>
      </c>
      <c r="F7" s="16">
        <v>869512077</v>
      </c>
      <c r="G7" s="17"/>
      <c r="K7" s="1">
        <v>3467000000</v>
      </c>
      <c r="L7" s="7">
        <v>85</v>
      </c>
      <c r="M7" s="5"/>
    </row>
    <row r="8" spans="1:14" x14ac:dyDescent="0.4">
      <c r="A8" s="8">
        <v>2023</v>
      </c>
      <c r="B8" s="8" t="s">
        <v>45</v>
      </c>
      <c r="C8" s="8" t="s">
        <v>35</v>
      </c>
      <c r="E8" s="16">
        <v>2495126829</v>
      </c>
      <c r="F8" s="16">
        <v>875606106</v>
      </c>
      <c r="G8" s="17"/>
      <c r="K8" s="2">
        <v>3371000000</v>
      </c>
      <c r="L8" s="3">
        <v>83</v>
      </c>
    </row>
    <row r="9" spans="1:14" x14ac:dyDescent="0.4">
      <c r="A9" s="8">
        <v>2023</v>
      </c>
      <c r="B9" s="8" t="s">
        <v>46</v>
      </c>
      <c r="C9" s="8" t="s">
        <v>22</v>
      </c>
      <c r="E9" s="16">
        <v>2397180039</v>
      </c>
      <c r="F9" s="16">
        <v>876138195</v>
      </c>
      <c r="G9" s="17"/>
      <c r="K9" s="1">
        <v>3273000000</v>
      </c>
      <c r="L9" s="7">
        <v>81</v>
      </c>
      <c r="M9" s="5"/>
    </row>
    <row r="10" spans="1:14" x14ac:dyDescent="0.4">
      <c r="A10" s="8">
        <v>2023</v>
      </c>
      <c r="B10" s="8" t="s">
        <v>47</v>
      </c>
      <c r="C10" s="8" t="s">
        <v>25</v>
      </c>
      <c r="E10" s="16">
        <v>1817038959</v>
      </c>
      <c r="F10" s="2">
        <v>876138195</v>
      </c>
      <c r="G10" s="17"/>
      <c r="K10" s="1">
        <v>2693000000</v>
      </c>
      <c r="L10" s="3">
        <v>66</v>
      </c>
    </row>
    <row r="11" spans="1:14" x14ac:dyDescent="0.4">
      <c r="A11" s="8">
        <v>2023</v>
      </c>
      <c r="B11" s="8" t="s">
        <v>48</v>
      </c>
      <c r="C11" s="8" t="s">
        <v>25</v>
      </c>
      <c r="E11" s="1">
        <v>2836944569</v>
      </c>
      <c r="F11" s="1">
        <v>876138195</v>
      </c>
      <c r="K11" s="2">
        <v>3663000000</v>
      </c>
      <c r="L11" s="7">
        <v>90</v>
      </c>
      <c r="M11" s="5"/>
    </row>
    <row r="12" spans="1:14" x14ac:dyDescent="0.4">
      <c r="A12" s="8">
        <v>2024</v>
      </c>
      <c r="B12" s="8" t="s">
        <v>49</v>
      </c>
      <c r="C12" s="8" t="s">
        <v>35</v>
      </c>
      <c r="E12" s="1">
        <v>2930633031</v>
      </c>
      <c r="F12" s="1">
        <v>876138195</v>
      </c>
      <c r="K12" s="1">
        <v>3807000000</v>
      </c>
      <c r="L12" s="3">
        <v>94</v>
      </c>
    </row>
    <row r="13" spans="1:14" x14ac:dyDescent="0.4">
      <c r="A13" s="8">
        <v>2024</v>
      </c>
      <c r="B13" s="8" t="s">
        <v>50</v>
      </c>
      <c r="C13" s="8" t="s">
        <v>22</v>
      </c>
      <c r="E13" s="1">
        <v>2997106952</v>
      </c>
      <c r="F13" s="1">
        <v>876138195</v>
      </c>
      <c r="K13" s="2">
        <v>3656000000</v>
      </c>
      <c r="L13" s="3">
        <v>90</v>
      </c>
    </row>
    <row r="14" spans="1:14" x14ac:dyDescent="0.4">
      <c r="A14" s="8">
        <v>2024</v>
      </c>
      <c r="B14" s="8" t="s">
        <v>51</v>
      </c>
      <c r="C14" s="8" t="s">
        <v>25</v>
      </c>
      <c r="E14" s="1">
        <v>2000976081</v>
      </c>
      <c r="F14" s="1">
        <v>876138195</v>
      </c>
      <c r="K14" s="2">
        <v>2877000000</v>
      </c>
      <c r="L14" s="3">
        <v>71</v>
      </c>
    </row>
    <row r="15" spans="1:14" x14ac:dyDescent="0.4">
      <c r="A15" s="8">
        <v>2024</v>
      </c>
      <c r="B15" s="8" t="s">
        <v>52</v>
      </c>
      <c r="C15" s="8" t="s">
        <v>25</v>
      </c>
      <c r="E15" s="1">
        <v>3295123554</v>
      </c>
      <c r="F15" s="1">
        <v>876138195</v>
      </c>
      <c r="K15" s="1">
        <v>3850000000</v>
      </c>
      <c r="L15" s="3">
        <v>95</v>
      </c>
    </row>
    <row r="16" spans="1:14" x14ac:dyDescent="0.4">
      <c r="A16" s="8">
        <v>2025</v>
      </c>
      <c r="B16" s="8" t="s">
        <v>53</v>
      </c>
      <c r="C16" s="8" t="s">
        <v>54</v>
      </c>
      <c r="E16" s="1">
        <v>3198830801</v>
      </c>
      <c r="F16" s="1">
        <v>876138195</v>
      </c>
      <c r="K16" s="1">
        <v>3812000000</v>
      </c>
      <c r="L16" s="3">
        <v>94</v>
      </c>
    </row>
    <row r="17" spans="1:12" x14ac:dyDescent="0.4">
      <c r="A17" s="8">
        <v>2025</v>
      </c>
      <c r="B17" s="8" t="s">
        <v>55</v>
      </c>
      <c r="C17" s="8" t="s">
        <v>22</v>
      </c>
      <c r="E17" s="1">
        <v>3224226429</v>
      </c>
      <c r="F17" s="1">
        <v>876138195</v>
      </c>
      <c r="K17" s="1">
        <v>3838000000</v>
      </c>
      <c r="L17" s="3">
        <v>94</v>
      </c>
    </row>
    <row r="18" spans="1:12" x14ac:dyDescent="0.4">
      <c r="A18" s="8">
        <v>2025</v>
      </c>
      <c r="B18" s="8" t="s">
        <v>56</v>
      </c>
      <c r="C18" s="8" t="s">
        <v>25</v>
      </c>
      <c r="E18" s="1">
        <v>2313870292</v>
      </c>
      <c r="F18" s="1">
        <v>876138195</v>
      </c>
      <c r="K18" s="1">
        <v>2927000000</v>
      </c>
      <c r="L18" s="3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케이탑리츠2</vt:lpstr>
      <vt:lpstr>한화리츠</vt:lpstr>
      <vt:lpstr>코람코더원리츠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Choi</dc:creator>
  <cp:lastModifiedBy>Moira Wide</cp:lastModifiedBy>
  <dcterms:created xsi:type="dcterms:W3CDTF">2015-06-05T18:19:34Z</dcterms:created>
  <dcterms:modified xsi:type="dcterms:W3CDTF">2025-11-16T13:18:45Z</dcterms:modified>
</cp:coreProperties>
</file>