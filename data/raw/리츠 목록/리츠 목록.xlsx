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내 드라이브\DArt-B\4.학술제\2_노트북\data\"/>
    </mc:Choice>
  </mc:AlternateContent>
  <xr:revisionPtr revIDLastSave="0" documentId="13_ncr:1_{1341C0A7-1F28-4CC6-880F-17385461FB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K2" i="2"/>
  <c r="N3" i="2" s="1"/>
  <c r="M2" i="2" l="1"/>
</calcChain>
</file>

<file path=xl/sharedStrings.xml><?xml version="1.0" encoding="utf-8"?>
<sst xmlns="http://schemas.openxmlformats.org/spreadsheetml/2006/main" count="94" uniqueCount="87">
  <si>
    <t>신한글로벌액티브리츠</t>
  </si>
  <si>
    <t>삼성FN리츠</t>
  </si>
  <si>
    <t>한화리츠</t>
  </si>
  <si>
    <t>KB스타리츠</t>
  </si>
  <si>
    <t>스타에스엠리츠</t>
  </si>
  <si>
    <t>케이탑리츠</t>
  </si>
  <si>
    <t>에이리츠</t>
  </si>
  <si>
    <t>신한서부티엔디리츠</t>
  </si>
  <si>
    <t>미래에셋글로벌리츠</t>
  </si>
  <si>
    <t>NH올원리츠</t>
  </si>
  <si>
    <t>SK리츠</t>
  </si>
  <si>
    <t>디앤디플랫폼리츠</t>
  </si>
  <si>
    <t>ESR켄달스퀘어리츠</t>
  </si>
  <si>
    <t>코람코라이프인프라리츠</t>
  </si>
  <si>
    <t>제이알글로벌리츠</t>
  </si>
  <si>
    <t>미래에셋맵스리츠</t>
  </si>
  <si>
    <t>이지스레지던스리츠</t>
  </si>
  <si>
    <t>이지스밸류플러스리츠</t>
  </si>
  <si>
    <t>NH프라임리츠</t>
  </si>
  <si>
    <t>롯데리츠</t>
  </si>
  <si>
    <t>신한알파리츠</t>
  </si>
  <si>
    <t>이리츠코크렙</t>
  </si>
  <si>
    <t>리츠 명</t>
    <phoneticPr fontId="2" type="noConversion"/>
  </si>
  <si>
    <t>종목번호</t>
    <phoneticPr fontId="2" type="noConversion"/>
  </si>
  <si>
    <t>상장여부</t>
    <phoneticPr fontId="2" type="noConversion"/>
  </si>
  <si>
    <t>상장시기</t>
    <phoneticPr fontId="2" type="noConversion"/>
  </si>
  <si>
    <t>포함여부</t>
    <phoneticPr fontId="2" type="noConversion"/>
  </si>
  <si>
    <t>다산리츠</t>
    <phoneticPr fontId="2" type="noConversion"/>
  </si>
  <si>
    <t>골든나래리츠</t>
    <phoneticPr fontId="2" type="noConversion"/>
  </si>
  <si>
    <t>에프지엔개발리츠</t>
    <phoneticPr fontId="2" type="noConversion"/>
  </si>
  <si>
    <t>광희리츠</t>
    <phoneticPr fontId="2" type="noConversion"/>
  </si>
  <si>
    <t>트러스제7호</t>
    <phoneticPr fontId="2" type="noConversion"/>
  </si>
  <si>
    <t>상폐이유</t>
    <phoneticPr fontId="2" type="noConversion"/>
  </si>
  <si>
    <t>embezzlement</t>
    <phoneticPr fontId="2" type="noConversion"/>
  </si>
  <si>
    <t>underscale</t>
    <phoneticPr fontId="2" type="noConversion"/>
  </si>
  <si>
    <t>KB부국위탁리츠</t>
    <phoneticPr fontId="2" type="noConversion"/>
  </si>
  <si>
    <t>마스턴프리미어리츠</t>
    <phoneticPr fontId="2" type="noConversion"/>
  </si>
  <si>
    <t>상장폐지 시기</t>
    <phoneticPr fontId="2" type="noConversion"/>
  </si>
  <si>
    <t>이코리아리츠</t>
    <phoneticPr fontId="2" type="noConversion"/>
  </si>
  <si>
    <t>0030R0</t>
  </si>
  <si>
    <t>448730</t>
  </si>
  <si>
    <t>451800</t>
  </si>
  <si>
    <t>432320</t>
  </si>
  <si>
    <t>코람코원리츠</t>
    <phoneticPr fontId="2" type="noConversion"/>
  </si>
  <si>
    <t>417310</t>
  </si>
  <si>
    <t>204210</t>
  </si>
  <si>
    <t>145270</t>
  </si>
  <si>
    <t>140910</t>
  </si>
  <si>
    <t>357430</t>
  </si>
  <si>
    <t>404990</t>
  </si>
  <si>
    <t>396690</t>
  </si>
  <si>
    <t>400760</t>
  </si>
  <si>
    <t>395400</t>
  </si>
  <si>
    <t>377190</t>
  </si>
  <si>
    <t>365550</t>
  </si>
  <si>
    <t>357120</t>
  </si>
  <si>
    <t>348950</t>
  </si>
  <si>
    <t>357250</t>
  </si>
  <si>
    <t>350520</t>
  </si>
  <si>
    <t>334890</t>
  </si>
  <si>
    <t>338100</t>
  </si>
  <si>
    <t>330590</t>
  </si>
  <si>
    <t>293940</t>
    <phoneticPr fontId="2" type="noConversion"/>
  </si>
  <si>
    <t>088260</t>
  </si>
  <si>
    <t>040950</t>
  </si>
  <si>
    <t>119250</t>
  </si>
  <si>
    <t>138440</t>
    <phoneticPr fontId="2" type="noConversion"/>
  </si>
  <si>
    <t>140890</t>
  </si>
  <si>
    <t>149130</t>
  </si>
  <si>
    <t>119250</t>
    <phoneticPr fontId="2" type="noConversion"/>
  </si>
  <si>
    <t>expired</t>
    <phoneticPr fontId="2" type="noConversion"/>
  </si>
  <si>
    <t>대신밸류리츠</t>
    <phoneticPr fontId="2" type="noConversion"/>
  </si>
  <si>
    <t>기간</t>
    <phoneticPr fontId="2" type="noConversion"/>
  </si>
  <si>
    <t>반기</t>
    <phoneticPr fontId="2" type="noConversion"/>
  </si>
  <si>
    <t>기업코드</t>
    <phoneticPr fontId="2" type="noConversion"/>
  </si>
  <si>
    <t>당기순이익</t>
    <phoneticPr fontId="2" type="noConversion"/>
  </si>
  <si>
    <t>감가상각비</t>
    <phoneticPr fontId="2" type="noConversion"/>
  </si>
  <si>
    <t>처분이익</t>
    <phoneticPr fontId="2" type="noConversion"/>
  </si>
  <si>
    <t>처분손실</t>
    <phoneticPr fontId="2" type="noConversion"/>
  </si>
  <si>
    <t>평가이익</t>
    <phoneticPr fontId="2" type="noConversion"/>
  </si>
  <si>
    <t>평가손실</t>
    <phoneticPr fontId="2" type="noConversion"/>
  </si>
  <si>
    <t>ffo</t>
    <phoneticPr fontId="2" type="noConversion"/>
  </si>
  <si>
    <t>시가총액</t>
    <phoneticPr fontId="2" type="noConversion"/>
  </si>
  <si>
    <t>p/ffo</t>
    <phoneticPr fontId="2" type="noConversion"/>
  </si>
  <si>
    <t>성장률</t>
    <phoneticPr fontId="2" type="noConversion"/>
  </si>
  <si>
    <t>연결 주석 8</t>
    <phoneticPr fontId="2" type="noConversion"/>
  </si>
  <si>
    <t>위치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</si>
</sst>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A6" workbookViewId="0">
      <selection activeCell="A14" sqref="A14"/>
    </sheetView>
  </sheetViews>
  <sheetFormatPr defaultRowHeight="17.399999999999999" x14ac:dyDescent="0.4"/>
  <cols>
    <col min="1" max="1" width="22.19921875" bestFit="1" customWidth="1"/>
    <col min="2" max="2" width="8.796875" style="4"/>
    <col min="4" max="4" width="13.59765625" bestFit="1" customWidth="1"/>
    <col min="5" max="5" width="10.8984375" bestFit="1" customWidth="1"/>
    <col min="6" max="6" width="10.8984375" customWidth="1"/>
  </cols>
  <sheetData>
    <row r="1" spans="1:7" x14ac:dyDescent="0.4">
      <c r="A1" t="s">
        <v>22</v>
      </c>
      <c r="B1" s="4" t="s">
        <v>23</v>
      </c>
      <c r="C1" t="s">
        <v>24</v>
      </c>
      <c r="D1" t="s">
        <v>32</v>
      </c>
      <c r="E1" t="s">
        <v>25</v>
      </c>
      <c r="F1" t="s">
        <v>37</v>
      </c>
      <c r="G1" t="s">
        <v>26</v>
      </c>
    </row>
    <row r="2" spans="1:7" x14ac:dyDescent="0.4">
      <c r="A2" s="1" t="s">
        <v>71</v>
      </c>
      <c r="B2" s="4" t="s">
        <v>39</v>
      </c>
      <c r="C2">
        <v>1</v>
      </c>
      <c r="E2" s="3">
        <v>45848</v>
      </c>
      <c r="F2" s="3"/>
      <c r="G2">
        <v>0</v>
      </c>
    </row>
    <row r="3" spans="1:7" x14ac:dyDescent="0.4">
      <c r="A3" s="1" t="s">
        <v>0</v>
      </c>
      <c r="B3" s="4">
        <v>481850</v>
      </c>
      <c r="C3">
        <v>1</v>
      </c>
      <c r="E3" s="3">
        <v>45474</v>
      </c>
      <c r="F3" s="3"/>
      <c r="G3">
        <v>0</v>
      </c>
    </row>
    <row r="4" spans="1:7" x14ac:dyDescent="0.4">
      <c r="A4" s="1" t="s">
        <v>1</v>
      </c>
      <c r="B4" s="4" t="s">
        <v>40</v>
      </c>
      <c r="C4">
        <v>1</v>
      </c>
      <c r="E4" s="3">
        <v>45026</v>
      </c>
      <c r="F4" s="3"/>
      <c r="G4">
        <v>0</v>
      </c>
    </row>
    <row r="5" spans="1:7" x14ac:dyDescent="0.4">
      <c r="A5" s="1" t="s">
        <v>2</v>
      </c>
      <c r="B5" s="4" t="s">
        <v>41</v>
      </c>
      <c r="C5">
        <v>1</v>
      </c>
      <c r="E5" s="3">
        <v>45012</v>
      </c>
      <c r="F5" s="3"/>
      <c r="G5">
        <v>0</v>
      </c>
    </row>
    <row r="6" spans="1:7" x14ac:dyDescent="0.4">
      <c r="A6" s="1" t="s">
        <v>3</v>
      </c>
      <c r="B6" s="4" t="s">
        <v>42</v>
      </c>
      <c r="C6">
        <v>1</v>
      </c>
      <c r="E6" s="3">
        <v>44840</v>
      </c>
      <c r="F6" s="3"/>
      <c r="G6">
        <v>0</v>
      </c>
    </row>
    <row r="7" spans="1:7" x14ac:dyDescent="0.4">
      <c r="A7" s="1" t="s">
        <v>43</v>
      </c>
      <c r="B7" s="4" t="s">
        <v>44</v>
      </c>
      <c r="C7">
        <v>1</v>
      </c>
      <c r="E7" s="3">
        <v>44648</v>
      </c>
      <c r="F7" s="3"/>
      <c r="G7">
        <v>0</v>
      </c>
    </row>
    <row r="8" spans="1:7" x14ac:dyDescent="0.4">
      <c r="A8" s="1" t="s">
        <v>4</v>
      </c>
      <c r="B8" s="4" t="s">
        <v>45</v>
      </c>
      <c r="C8">
        <v>0</v>
      </c>
      <c r="D8" t="s">
        <v>33</v>
      </c>
      <c r="E8" s="3">
        <v>42635</v>
      </c>
      <c r="F8" s="3">
        <v>45803</v>
      </c>
      <c r="G8">
        <v>0</v>
      </c>
    </row>
    <row r="9" spans="1:7" x14ac:dyDescent="0.4">
      <c r="A9" s="1" t="s">
        <v>5</v>
      </c>
      <c r="B9" s="4" t="s">
        <v>46</v>
      </c>
      <c r="C9">
        <v>1</v>
      </c>
      <c r="E9" s="3">
        <v>40939</v>
      </c>
      <c r="F9" s="3"/>
      <c r="G9">
        <v>0</v>
      </c>
    </row>
    <row r="10" spans="1:7" x14ac:dyDescent="0.4">
      <c r="A10" s="1" t="s">
        <v>6</v>
      </c>
      <c r="B10" s="4" t="s">
        <v>47</v>
      </c>
      <c r="C10">
        <v>0</v>
      </c>
      <c r="D10" t="s">
        <v>34</v>
      </c>
      <c r="E10" s="3">
        <v>40738</v>
      </c>
      <c r="F10" s="3">
        <v>45889</v>
      </c>
      <c r="G10">
        <v>0</v>
      </c>
    </row>
    <row r="11" spans="1:7" x14ac:dyDescent="0.4">
      <c r="A11" s="1" t="s">
        <v>36</v>
      </c>
      <c r="B11" s="4" t="s">
        <v>48</v>
      </c>
      <c r="C11">
        <v>1</v>
      </c>
      <c r="E11" s="3">
        <v>44712</v>
      </c>
      <c r="F11" s="3"/>
      <c r="G11">
        <v>0</v>
      </c>
    </row>
    <row r="12" spans="1:7" x14ac:dyDescent="0.4">
      <c r="A12" s="1" t="s">
        <v>7</v>
      </c>
      <c r="B12" s="4" t="s">
        <v>49</v>
      </c>
      <c r="C12">
        <v>1</v>
      </c>
      <c r="E12" s="3">
        <v>44540</v>
      </c>
      <c r="F12" s="3"/>
      <c r="G12">
        <v>1</v>
      </c>
    </row>
    <row r="13" spans="1:7" x14ac:dyDescent="0.4">
      <c r="A13" s="1" t="s">
        <v>8</v>
      </c>
      <c r="B13" s="4" t="s">
        <v>50</v>
      </c>
      <c r="C13">
        <v>1</v>
      </c>
      <c r="E13" s="3">
        <v>44533</v>
      </c>
      <c r="F13" s="3"/>
      <c r="G13">
        <v>1</v>
      </c>
    </row>
    <row r="14" spans="1:7" x14ac:dyDescent="0.4">
      <c r="A14" s="1" t="s">
        <v>9</v>
      </c>
      <c r="B14" s="4" t="s">
        <v>51</v>
      </c>
      <c r="C14">
        <v>1</v>
      </c>
      <c r="E14" s="3">
        <v>44518</v>
      </c>
      <c r="F14" s="3"/>
      <c r="G14">
        <v>1</v>
      </c>
    </row>
    <row r="15" spans="1:7" x14ac:dyDescent="0.4">
      <c r="A15" s="1" t="s">
        <v>10</v>
      </c>
      <c r="B15" s="4" t="s">
        <v>52</v>
      </c>
      <c r="C15">
        <v>1</v>
      </c>
      <c r="E15" s="3">
        <v>44453</v>
      </c>
      <c r="F15" s="3"/>
      <c r="G15">
        <v>1</v>
      </c>
    </row>
    <row r="16" spans="1:7" x14ac:dyDescent="0.4">
      <c r="A16" s="1" t="s">
        <v>11</v>
      </c>
      <c r="B16" s="4" t="s">
        <v>53</v>
      </c>
      <c r="C16">
        <v>1</v>
      </c>
      <c r="E16" s="3">
        <v>44435</v>
      </c>
      <c r="F16" s="3"/>
      <c r="G16">
        <v>1</v>
      </c>
    </row>
    <row r="17" spans="1:7" x14ac:dyDescent="0.4">
      <c r="A17" s="1" t="s">
        <v>12</v>
      </c>
      <c r="B17" s="4" t="s">
        <v>54</v>
      </c>
      <c r="C17">
        <v>1</v>
      </c>
      <c r="E17" s="3">
        <v>44188</v>
      </c>
      <c r="F17" s="3"/>
      <c r="G17">
        <v>1</v>
      </c>
    </row>
    <row r="18" spans="1:7" x14ac:dyDescent="0.4">
      <c r="A18" s="1" t="s">
        <v>13</v>
      </c>
      <c r="B18" s="4" t="s">
        <v>55</v>
      </c>
      <c r="C18">
        <v>1</v>
      </c>
      <c r="E18" s="3">
        <v>44074</v>
      </c>
      <c r="F18" s="3"/>
      <c r="G18">
        <v>1</v>
      </c>
    </row>
    <row r="19" spans="1:7" x14ac:dyDescent="0.4">
      <c r="A19" s="1" t="s">
        <v>14</v>
      </c>
      <c r="B19" s="4" t="s">
        <v>56</v>
      </c>
      <c r="C19">
        <v>1</v>
      </c>
      <c r="E19" s="3">
        <v>44050</v>
      </c>
      <c r="F19" s="3"/>
      <c r="G19">
        <v>1</v>
      </c>
    </row>
    <row r="20" spans="1:7" x14ac:dyDescent="0.4">
      <c r="A20" s="1" t="s">
        <v>15</v>
      </c>
      <c r="B20" s="4" t="s">
        <v>57</v>
      </c>
      <c r="C20">
        <v>1</v>
      </c>
      <c r="E20" s="3">
        <v>44048</v>
      </c>
      <c r="F20" s="3"/>
      <c r="G20">
        <v>1</v>
      </c>
    </row>
    <row r="21" spans="1:7" x14ac:dyDescent="0.4">
      <c r="A21" s="1" t="s">
        <v>16</v>
      </c>
      <c r="B21" s="4" t="s">
        <v>58</v>
      </c>
      <c r="C21">
        <v>1</v>
      </c>
      <c r="E21" s="3">
        <v>44048</v>
      </c>
      <c r="F21" s="3"/>
      <c r="G21">
        <v>1</v>
      </c>
    </row>
    <row r="22" spans="1:7" x14ac:dyDescent="0.4">
      <c r="A22" s="1" t="s">
        <v>17</v>
      </c>
      <c r="B22" s="4" t="s">
        <v>59</v>
      </c>
      <c r="C22">
        <v>1</v>
      </c>
      <c r="E22" s="3">
        <v>44028</v>
      </c>
      <c r="F22" s="3"/>
      <c r="G22">
        <v>1</v>
      </c>
    </row>
    <row r="23" spans="1:7" x14ac:dyDescent="0.4">
      <c r="A23" s="1" t="s">
        <v>18</v>
      </c>
      <c r="B23" s="4" t="s">
        <v>60</v>
      </c>
      <c r="C23">
        <v>1</v>
      </c>
      <c r="E23" s="3">
        <v>43804</v>
      </c>
      <c r="F23" s="3"/>
      <c r="G23">
        <v>1</v>
      </c>
    </row>
    <row r="24" spans="1:7" x14ac:dyDescent="0.4">
      <c r="A24" s="1" t="s">
        <v>19</v>
      </c>
      <c r="B24" s="4" t="s">
        <v>61</v>
      </c>
      <c r="C24">
        <v>1</v>
      </c>
      <c r="E24" s="3">
        <v>43768</v>
      </c>
      <c r="F24" s="3"/>
      <c r="G24">
        <v>1</v>
      </c>
    </row>
    <row r="25" spans="1:7" x14ac:dyDescent="0.4">
      <c r="A25" s="1" t="s">
        <v>20</v>
      </c>
      <c r="B25" s="4" t="s">
        <v>62</v>
      </c>
      <c r="C25">
        <v>1</v>
      </c>
      <c r="E25" s="3">
        <v>43320</v>
      </c>
      <c r="F25" s="3"/>
      <c r="G25">
        <v>1</v>
      </c>
    </row>
    <row r="26" spans="1:7" x14ac:dyDescent="0.4">
      <c r="A26" s="2" t="s">
        <v>21</v>
      </c>
      <c r="B26" s="4" t="s">
        <v>63</v>
      </c>
      <c r="C26">
        <v>1</v>
      </c>
      <c r="E26" s="3">
        <v>43278</v>
      </c>
      <c r="F26" s="3"/>
      <c r="G26">
        <v>1</v>
      </c>
    </row>
    <row r="27" spans="1:7" x14ac:dyDescent="0.4">
      <c r="A27" s="1" t="s">
        <v>27</v>
      </c>
      <c r="B27" s="4" t="s">
        <v>64</v>
      </c>
      <c r="C27">
        <v>0</v>
      </c>
      <c r="D27" t="s">
        <v>33</v>
      </c>
      <c r="E27" s="3">
        <v>40430</v>
      </c>
      <c r="F27" s="3">
        <v>40718</v>
      </c>
      <c r="G27">
        <v>0</v>
      </c>
    </row>
    <row r="28" spans="1:7" x14ac:dyDescent="0.4">
      <c r="A28" s="1" t="s">
        <v>28</v>
      </c>
      <c r="B28" s="4" t="s">
        <v>69</v>
      </c>
      <c r="C28">
        <v>0</v>
      </c>
      <c r="D28" t="s">
        <v>33</v>
      </c>
      <c r="E28" s="3">
        <v>40301</v>
      </c>
      <c r="F28" s="3">
        <v>41892</v>
      </c>
      <c r="G28">
        <v>0</v>
      </c>
    </row>
    <row r="29" spans="1:7" x14ac:dyDescent="0.4">
      <c r="A29" s="1" t="s">
        <v>29</v>
      </c>
      <c r="B29" s="4" t="s">
        <v>65</v>
      </c>
      <c r="C29">
        <v>0</v>
      </c>
      <c r="D29" t="s">
        <v>33</v>
      </c>
      <c r="E29" s="3">
        <v>41815</v>
      </c>
      <c r="F29" s="3">
        <v>41940</v>
      </c>
      <c r="G29">
        <v>0</v>
      </c>
    </row>
    <row r="30" spans="1:7" x14ac:dyDescent="0.4">
      <c r="A30" s="1" t="s">
        <v>38</v>
      </c>
      <c r="B30" s="4" t="s">
        <v>66</v>
      </c>
      <c r="C30">
        <v>0</v>
      </c>
      <c r="D30" t="s">
        <v>34</v>
      </c>
      <c r="E30" s="3">
        <v>40612</v>
      </c>
      <c r="F30" s="3">
        <v>42065</v>
      </c>
      <c r="G30">
        <v>0</v>
      </c>
    </row>
    <row r="31" spans="1:7" x14ac:dyDescent="0.4">
      <c r="A31" s="1" t="s">
        <v>30</v>
      </c>
      <c r="B31" s="4" t="s">
        <v>47</v>
      </c>
      <c r="C31">
        <v>0</v>
      </c>
      <c r="D31" t="s">
        <v>33</v>
      </c>
      <c r="E31" s="3">
        <v>40738</v>
      </c>
      <c r="F31" s="3">
        <v>42031</v>
      </c>
      <c r="G31">
        <v>0</v>
      </c>
    </row>
    <row r="32" spans="1:7" x14ac:dyDescent="0.4">
      <c r="A32" s="1" t="s">
        <v>31</v>
      </c>
      <c r="B32" s="4" t="s">
        <v>67</v>
      </c>
      <c r="C32">
        <v>0</v>
      </c>
      <c r="D32" t="s">
        <v>70</v>
      </c>
      <c r="E32" s="3">
        <v>40816</v>
      </c>
      <c r="F32" s="3">
        <v>43161</v>
      </c>
      <c r="G32">
        <v>0</v>
      </c>
    </row>
    <row r="33" spans="1:7" x14ac:dyDescent="0.4">
      <c r="A33" s="1" t="s">
        <v>35</v>
      </c>
      <c r="B33" s="4" t="s">
        <v>68</v>
      </c>
      <c r="C33">
        <v>0</v>
      </c>
      <c r="D33" t="s">
        <v>34</v>
      </c>
      <c r="E33" s="3">
        <v>41072</v>
      </c>
      <c r="F33" s="3">
        <v>42024</v>
      </c>
      <c r="G33">
        <v>0</v>
      </c>
    </row>
    <row r="34" spans="1:7" x14ac:dyDescent="0.4">
      <c r="A34" s="1"/>
      <c r="E34" s="3"/>
    </row>
    <row r="35" spans="1:7" x14ac:dyDescent="0.4">
      <c r="A35" s="1"/>
    </row>
    <row r="36" spans="1:7" x14ac:dyDescent="0.4">
      <c r="A36" s="1"/>
    </row>
    <row r="37" spans="1:7" x14ac:dyDescent="0.4">
      <c r="A3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8196-880E-4B62-B320-D57854523825}">
  <dimension ref="A1:O5"/>
  <sheetViews>
    <sheetView tabSelected="1" workbookViewId="0">
      <selection activeCell="C7" sqref="C7"/>
    </sheetView>
  </sheetViews>
  <sheetFormatPr defaultRowHeight="17.399999999999999" x14ac:dyDescent="0.4"/>
  <cols>
    <col min="9" max="9" width="10.8984375" bestFit="1" customWidth="1"/>
    <col min="15" max="15" width="12.59765625" bestFit="1" customWidth="1"/>
  </cols>
  <sheetData>
    <row r="1" spans="1:15" x14ac:dyDescent="0.4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86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</row>
    <row r="2" spans="1:15" x14ac:dyDescent="0.4">
      <c r="A2">
        <v>2024</v>
      </c>
      <c r="B2">
        <v>1</v>
      </c>
      <c r="C2">
        <v>111111</v>
      </c>
      <c r="D2">
        <v>50000</v>
      </c>
      <c r="E2">
        <v>200</v>
      </c>
      <c r="F2">
        <v>0</v>
      </c>
      <c r="G2">
        <v>500</v>
      </c>
      <c r="H2">
        <v>100</v>
      </c>
      <c r="I2" t="s">
        <v>85</v>
      </c>
      <c r="J2">
        <v>400</v>
      </c>
      <c r="K2">
        <f>D2+E2-F2+G2-H2+J2</f>
        <v>51000</v>
      </c>
      <c r="L2">
        <v>4000</v>
      </c>
      <c r="M2">
        <f>L2/K2</f>
        <v>7.8431372549019607E-2</v>
      </c>
      <c r="O2">
        <f>19197338754+19333214180</f>
        <v>38530552934</v>
      </c>
    </row>
    <row r="3" spans="1:15" x14ac:dyDescent="0.4">
      <c r="A3">
        <v>2024</v>
      </c>
      <c r="B3">
        <v>2</v>
      </c>
      <c r="C3">
        <v>11111</v>
      </c>
      <c r="K3">
        <v>60000</v>
      </c>
      <c r="N3">
        <f>K3/K2</f>
        <v>1.1764705882352942</v>
      </c>
    </row>
    <row r="4" spans="1:15" x14ac:dyDescent="0.4">
      <c r="C4">
        <v>3424321</v>
      </c>
    </row>
    <row r="5" spans="1:15" x14ac:dyDescent="0.4">
      <c r="C5">
        <v>11111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Choi</dc:creator>
  <cp:lastModifiedBy>Moira Wide</cp:lastModifiedBy>
  <dcterms:created xsi:type="dcterms:W3CDTF">2015-06-05T18:19:34Z</dcterms:created>
  <dcterms:modified xsi:type="dcterms:W3CDTF">2025-11-11T11:46:14Z</dcterms:modified>
</cp:coreProperties>
</file>