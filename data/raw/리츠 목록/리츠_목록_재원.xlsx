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5F5E292-C0FE-4BD4-9C83-5BE752E79C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2" l="1"/>
  <c r="D111" i="2"/>
  <c r="D27" i="3"/>
  <c r="D26" i="3"/>
  <c r="D25" i="3"/>
  <c r="B25" i="3"/>
  <c r="C24" i="3"/>
  <c r="B24" i="3"/>
  <c r="B20" i="3"/>
  <c r="B21" i="3"/>
  <c r="D23" i="3" s="1"/>
  <c r="C20" i="3"/>
  <c r="C16" i="3"/>
  <c r="B16" i="3"/>
  <c r="B11" i="3"/>
  <c r="K10" i="2"/>
  <c r="K9" i="2"/>
  <c r="K8" i="2"/>
  <c r="K6" i="2"/>
  <c r="K7" i="2"/>
  <c r="K5" i="2"/>
  <c r="K4" i="2"/>
  <c r="K3" i="2"/>
  <c r="C11" i="3"/>
  <c r="C6" i="3"/>
  <c r="C1" i="3"/>
  <c r="B6" i="3"/>
  <c r="B1" i="3"/>
  <c r="J10" i="2"/>
  <c r="E10" i="2"/>
  <c r="D10" i="2"/>
  <c r="J9" i="2"/>
  <c r="E9" i="2"/>
  <c r="D9" i="2"/>
  <c r="E7" i="2"/>
  <c r="E8" i="2"/>
  <c r="J8" i="2"/>
  <c r="D8" i="2"/>
  <c r="D7" i="2"/>
  <c r="J7" i="2"/>
  <c r="J6" i="2"/>
  <c r="G6" i="2"/>
  <c r="E6" i="2"/>
  <c r="D6" i="2"/>
  <c r="J3" i="2"/>
  <c r="J4" i="2"/>
  <c r="J5" i="2"/>
  <c r="E5" i="2"/>
  <c r="D5" i="2"/>
  <c r="G4" i="2"/>
  <c r="E4" i="2"/>
  <c r="D4" i="2"/>
  <c r="E3" i="2"/>
  <c r="G3" i="2"/>
  <c r="I3" i="2"/>
  <c r="H3" i="2"/>
  <c r="D3" i="2"/>
  <c r="F23" i="3" l="1"/>
  <c r="C27" i="3"/>
  <c r="D21" i="3"/>
  <c r="D22" i="3"/>
  <c r="B17" i="3"/>
  <c r="D19" i="3" s="1"/>
  <c r="F19" i="3" s="1"/>
  <c r="E17" i="3"/>
  <c r="D17" i="3"/>
  <c r="F17" i="3" s="1"/>
  <c r="D18" i="3"/>
  <c r="F18" i="3" s="1"/>
  <c r="B12" i="3"/>
  <c r="D15" i="3" s="1"/>
  <c r="B3" i="3"/>
  <c r="D4" i="3" s="1"/>
  <c r="D13" i="3"/>
  <c r="B7" i="3"/>
  <c r="F22" i="3" l="1"/>
  <c r="C26" i="3"/>
  <c r="F21" i="3"/>
  <c r="C25" i="3"/>
  <c r="D9" i="3"/>
  <c r="D10" i="3"/>
  <c r="D7" i="3"/>
  <c r="D8" i="3"/>
  <c r="D3" i="3"/>
  <c r="D12" i="3"/>
  <c r="D5" i="3"/>
  <c r="D14" i="3"/>
</calcChain>
</file>

<file path=xl/sharedStrings.xml><?xml version="1.0" encoding="utf-8"?>
<sst xmlns="http://schemas.openxmlformats.org/spreadsheetml/2006/main" count="124" uniqueCount="113">
  <si>
    <t>신한글로벌액티브리츠</t>
  </si>
  <si>
    <t>삼성FN리츠</t>
  </si>
  <si>
    <t>한화리츠</t>
  </si>
  <si>
    <t>KB스타리츠</t>
  </si>
  <si>
    <t>스타에스엠리츠</t>
  </si>
  <si>
    <t>케이탑리츠</t>
  </si>
  <si>
    <t>에이리츠</t>
  </si>
  <si>
    <t>신한서부티엔디리츠</t>
  </si>
  <si>
    <t>미래에셋글로벌리츠</t>
  </si>
  <si>
    <t>NH올원리츠</t>
  </si>
  <si>
    <t>SK리츠</t>
  </si>
  <si>
    <t>디앤디플랫폼리츠</t>
  </si>
  <si>
    <t>ESR켄달스퀘어리츠</t>
  </si>
  <si>
    <t>코람코라이프인프라리츠</t>
  </si>
  <si>
    <t>제이알글로벌리츠</t>
  </si>
  <si>
    <t>미래에셋맵스리츠</t>
  </si>
  <si>
    <t>이지스레지던스리츠</t>
  </si>
  <si>
    <t>이지스밸류플러스리츠</t>
  </si>
  <si>
    <t>NH프라임리츠</t>
  </si>
  <si>
    <t>롯데리츠</t>
  </si>
  <si>
    <t>신한알파리츠</t>
  </si>
  <si>
    <t>이리츠코크렙</t>
  </si>
  <si>
    <t>리츠 명</t>
    <phoneticPr fontId="2" type="noConversion"/>
  </si>
  <si>
    <t>종목번호</t>
    <phoneticPr fontId="2" type="noConversion"/>
  </si>
  <si>
    <t>상장여부</t>
    <phoneticPr fontId="2" type="noConversion"/>
  </si>
  <si>
    <t>상장시기</t>
    <phoneticPr fontId="2" type="noConversion"/>
  </si>
  <si>
    <t>포함여부</t>
    <phoneticPr fontId="2" type="noConversion"/>
  </si>
  <si>
    <t>다산리츠</t>
    <phoneticPr fontId="2" type="noConversion"/>
  </si>
  <si>
    <t>골든나래리츠</t>
    <phoneticPr fontId="2" type="noConversion"/>
  </si>
  <si>
    <t>에프지엔개발리츠</t>
    <phoneticPr fontId="2" type="noConversion"/>
  </si>
  <si>
    <t>광희리츠</t>
    <phoneticPr fontId="2" type="noConversion"/>
  </si>
  <si>
    <t>트러스제7호</t>
    <phoneticPr fontId="2" type="noConversion"/>
  </si>
  <si>
    <t>상폐이유</t>
    <phoneticPr fontId="2" type="noConversion"/>
  </si>
  <si>
    <t>embezzlement</t>
    <phoneticPr fontId="2" type="noConversion"/>
  </si>
  <si>
    <t>underscale</t>
    <phoneticPr fontId="2" type="noConversion"/>
  </si>
  <si>
    <t>KB부국위탁리츠</t>
    <phoneticPr fontId="2" type="noConversion"/>
  </si>
  <si>
    <t>마스턴프리미어리츠</t>
    <phoneticPr fontId="2" type="noConversion"/>
  </si>
  <si>
    <t>상장폐지 시기</t>
    <phoneticPr fontId="2" type="noConversion"/>
  </si>
  <si>
    <t>이코리아리츠</t>
    <phoneticPr fontId="2" type="noConversion"/>
  </si>
  <si>
    <t>0030R0</t>
  </si>
  <si>
    <t>448730</t>
  </si>
  <si>
    <t>451800</t>
  </si>
  <si>
    <t>코람코원리츠</t>
    <phoneticPr fontId="2" type="noConversion"/>
  </si>
  <si>
    <t>417310</t>
  </si>
  <si>
    <t>204210</t>
  </si>
  <si>
    <t>145270</t>
  </si>
  <si>
    <t>140910</t>
  </si>
  <si>
    <t>404990</t>
  </si>
  <si>
    <t>396690</t>
  </si>
  <si>
    <t>400760</t>
  </si>
  <si>
    <t>395400</t>
  </si>
  <si>
    <t>365550</t>
  </si>
  <si>
    <t>357120</t>
  </si>
  <si>
    <t>348950</t>
  </si>
  <si>
    <t>357250</t>
  </si>
  <si>
    <t>350520</t>
  </si>
  <si>
    <t>334890</t>
  </si>
  <si>
    <t>338100</t>
  </si>
  <si>
    <t>330590</t>
  </si>
  <si>
    <t>293940</t>
    <phoneticPr fontId="2" type="noConversion"/>
  </si>
  <si>
    <t>088260</t>
  </si>
  <si>
    <t>040950</t>
  </si>
  <si>
    <t>119250</t>
  </si>
  <si>
    <t>138440</t>
    <phoneticPr fontId="2" type="noConversion"/>
  </si>
  <si>
    <t>140890</t>
  </si>
  <si>
    <t>149130</t>
  </si>
  <si>
    <t>119250</t>
    <phoneticPr fontId="2" type="noConversion"/>
  </si>
  <si>
    <t>expired</t>
    <phoneticPr fontId="2" type="noConversion"/>
  </si>
  <si>
    <t>대신밸류리츠</t>
    <phoneticPr fontId="2" type="noConversion"/>
  </si>
  <si>
    <t>반기</t>
    <phoneticPr fontId="2" type="noConversion"/>
  </si>
  <si>
    <t>당기순이익</t>
    <phoneticPr fontId="2" type="noConversion"/>
  </si>
  <si>
    <t>감가상각비</t>
    <phoneticPr fontId="2" type="noConversion"/>
  </si>
  <si>
    <t>처분이익</t>
    <phoneticPr fontId="2" type="noConversion"/>
  </si>
  <si>
    <t>처분손실</t>
    <phoneticPr fontId="2" type="noConversion"/>
  </si>
  <si>
    <t>평가이익</t>
    <phoneticPr fontId="2" type="noConversion"/>
  </si>
  <si>
    <t>평가손실</t>
    <phoneticPr fontId="2" type="noConversion"/>
  </si>
  <si>
    <t>year</t>
    <phoneticPr fontId="2" type="noConversion"/>
  </si>
  <si>
    <t>semi-year</t>
    <phoneticPr fontId="2" type="noConversion"/>
  </si>
  <si>
    <t>NI</t>
    <phoneticPr fontId="2" type="noConversion"/>
  </si>
  <si>
    <t>Dep</t>
    <phoneticPr fontId="2" type="noConversion"/>
  </si>
  <si>
    <t>gain_on_disposition</t>
    <phoneticPr fontId="2" type="noConversion"/>
  </si>
  <si>
    <t>gain_on_appreciation</t>
    <phoneticPr fontId="2" type="noConversion"/>
  </si>
  <si>
    <t>dividend</t>
    <phoneticPr fontId="2" type="noConversion"/>
  </si>
  <si>
    <t>연</t>
    <phoneticPr fontId="2" type="noConversion"/>
  </si>
  <si>
    <t>배당액</t>
    <phoneticPr fontId="2" type="noConversion"/>
  </si>
  <si>
    <t>설명</t>
    <phoneticPr fontId="2" type="noConversion"/>
  </si>
  <si>
    <t>주석 위치 등 기술</t>
    <phoneticPr fontId="2" type="noConversion"/>
  </si>
  <si>
    <t>loss_of_disposition</t>
    <phoneticPr fontId="2" type="noConversion"/>
  </si>
  <si>
    <t>loss_of_appreciation</t>
    <phoneticPr fontId="2" type="noConversion"/>
  </si>
  <si>
    <t>처분손실: 영업비용(연결)-당기-투자부동산처분손실, 배당액: 배당금(연결)-당기-배당금총액</t>
    <phoneticPr fontId="2" type="noConversion"/>
  </si>
  <si>
    <t>처분손실: .투자부동산 - 처분,투자부동산</t>
    <phoneticPr fontId="2" type="noConversion"/>
  </si>
  <si>
    <t>code</t>
    <phoneticPr fontId="2" type="noConversion"/>
  </si>
  <si>
    <t>종목코드</t>
    <phoneticPr fontId="2" type="noConversion"/>
  </si>
  <si>
    <t>1(03.29-06.30)</t>
    <phoneticPr fontId="2" type="noConversion"/>
  </si>
  <si>
    <t>롯데2019-1</t>
    <phoneticPr fontId="2" type="noConversion"/>
  </si>
  <si>
    <t>투자부동산손상차손 평가손실에 적음</t>
    <phoneticPr fontId="2" type="noConversion"/>
  </si>
  <si>
    <t>코람코2020-1</t>
    <phoneticPr fontId="2" type="noConversion"/>
  </si>
  <si>
    <t>* 0.512605042016807 완료</t>
    <phoneticPr fontId="2" type="noConversion"/>
  </si>
  <si>
    <t>1,2기 배당없음</t>
    <phoneticPr fontId="2" type="noConversion"/>
  </si>
  <si>
    <t>주당배당액</t>
    <phoneticPr fontId="2" type="noConversion"/>
  </si>
  <si>
    <t xml:space="preserve">dps </t>
    <phoneticPr fontId="2" type="noConversion"/>
  </si>
  <si>
    <t xml:space="preserve">. 투자부동산 없음 </t>
    <phoneticPr fontId="2" type="noConversion"/>
  </si>
  <si>
    <t>1기 배당없음</t>
    <phoneticPr fontId="2" type="noConversion"/>
  </si>
  <si>
    <t>미래에셋맵스1기</t>
    <phoneticPr fontId="2" type="noConversion"/>
  </si>
  <si>
    <t>이지스밸류2020-2</t>
    <phoneticPr fontId="2" type="noConversion"/>
  </si>
  <si>
    <t>이지스밸류2020-1</t>
    <phoneticPr fontId="2" type="noConversion"/>
  </si>
  <si>
    <t>투자부동산 직접보유 없이 종속기업 주식으로 보유중</t>
  </si>
  <si>
    <t>첫 회계기간에 대한 기간조정 적용됨</t>
  </si>
  <si>
    <t>투자부동산 공정가치모형으로 변경</t>
  </si>
  <si>
    <t>357430</t>
    <phoneticPr fontId="2" type="noConversion"/>
  </si>
  <si>
    <t>140910</t>
    <phoneticPr fontId="2" type="noConversion"/>
  </si>
  <si>
    <t>377190</t>
    <phoneticPr fontId="2" type="noConversion"/>
  </si>
  <si>
    <t>432320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</si>
</sst>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00000000000000000E+00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7"/>
      <color theme="1"/>
      <name val="맑은 고딕"/>
      <family val="3"/>
      <charset val="129"/>
      <scheme val="major"/>
    </font>
    <font>
      <sz val="7"/>
      <color rgb="FF000000"/>
      <name val="맑은 고딕"/>
      <family val="3"/>
      <charset val="129"/>
      <scheme val="major"/>
    </font>
    <font>
      <sz val="7"/>
      <color rgb="FF000000"/>
      <name val="굴림"/>
      <family val="3"/>
      <charset val="129"/>
    </font>
    <font>
      <sz val="7"/>
      <color theme="1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5" fillId="0" borderId="0" xfId="0" applyFont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41" fontId="4" fillId="0" borderId="0" xfId="1" applyFont="1" applyAlignment="1"/>
    <xf numFmtId="41" fontId="5" fillId="0" borderId="0" xfId="1" applyFont="1" applyAlignment="1"/>
    <xf numFmtId="43" fontId="0" fillId="0" borderId="0" xfId="0" applyNumberFormat="1"/>
    <xf numFmtId="3" fontId="6" fillId="0" borderId="0" xfId="0" applyNumberFormat="1" applyFont="1"/>
    <xf numFmtId="3" fontId="5" fillId="0" borderId="0" xfId="0" applyNumberFormat="1" applyFont="1" applyAlignment="1">
      <alignment horizontal="right" vertical="center" wrapText="1"/>
    </xf>
    <xf numFmtId="3" fontId="5" fillId="0" borderId="0" xfId="0" applyNumberFormat="1" applyFont="1"/>
    <xf numFmtId="41" fontId="0" fillId="0" borderId="0" xfId="0" applyNumberFormat="1"/>
    <xf numFmtId="176" fontId="0" fillId="0" borderId="0" xfId="0" applyNumberFormat="1"/>
    <xf numFmtId="41" fontId="7" fillId="0" borderId="0" xfId="0" applyNumberFormat="1" applyFont="1"/>
    <xf numFmtId="41" fontId="0" fillId="3" borderId="0" xfId="0" applyNumberFormat="1" applyFill="1"/>
    <xf numFmtId="43" fontId="0" fillId="3" borderId="0" xfId="0" applyNumberFormat="1" applyFill="1"/>
    <xf numFmtId="43" fontId="0" fillId="2" borderId="0" xfId="0" applyNumberFormat="1" applyFill="1"/>
    <xf numFmtId="0" fontId="4" fillId="0" borderId="0" xfId="0" applyFont="1" applyAlignment="1">
      <alignment horizontal="center"/>
    </xf>
    <xf numFmtId="0" fontId="4" fillId="0" borderId="0" xfId="0" applyFont="1"/>
    <xf numFmtId="41" fontId="4" fillId="0" borderId="0" xfId="2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3" fontId="8" fillId="0" borderId="0" xfId="0" applyNumberFormat="1" applyFont="1"/>
    <xf numFmtId="3" fontId="5" fillId="0" borderId="0" xfId="0" applyNumberFormat="1" applyFont="1" applyAlignment="1">
      <alignment wrapText="1"/>
    </xf>
    <xf numFmtId="41" fontId="4" fillId="0" borderId="0" xfId="1" applyFont="1" applyAlignment="1">
      <alignment wrapText="1"/>
    </xf>
    <xf numFmtId="3" fontId="7" fillId="0" borderId="0" xfId="0" applyNumberFormat="1" applyFont="1"/>
  </cellXfs>
  <cellStyles count="3">
    <cellStyle name="쉼표 [0]" xfId="1" builtinId="6"/>
    <cellStyle name="쉼표 [0] 2" xfId="2" xr:uid="{8F582624-B93E-4961-969E-E2648AA76DA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zoomScale="74" workbookViewId="0">
      <selection activeCell="B6" sqref="B6"/>
    </sheetView>
  </sheetViews>
  <sheetFormatPr defaultRowHeight="17.399999999999999" x14ac:dyDescent="0.4"/>
  <cols>
    <col min="1" max="1" width="22.19921875" bestFit="1" customWidth="1"/>
    <col min="2" max="2" width="8.69921875" style="4"/>
    <col min="4" max="4" width="13.59765625" bestFit="1" customWidth="1"/>
    <col min="5" max="5" width="10.796875" bestFit="1" customWidth="1"/>
    <col min="6" max="6" width="10.796875" customWidth="1"/>
  </cols>
  <sheetData>
    <row r="1" spans="1:7" x14ac:dyDescent="0.4">
      <c r="A1" t="s">
        <v>22</v>
      </c>
      <c r="B1" s="4" t="s">
        <v>23</v>
      </c>
      <c r="C1" t="s">
        <v>24</v>
      </c>
      <c r="D1" t="s">
        <v>32</v>
      </c>
      <c r="E1" t="s">
        <v>25</v>
      </c>
      <c r="F1" t="s">
        <v>37</v>
      </c>
      <c r="G1" t="s">
        <v>26</v>
      </c>
    </row>
    <row r="2" spans="1:7" x14ac:dyDescent="0.4">
      <c r="A2" s="1" t="s">
        <v>68</v>
      </c>
      <c r="B2" s="4" t="s">
        <v>39</v>
      </c>
      <c r="C2">
        <v>1</v>
      </c>
      <c r="E2" s="3">
        <v>45848</v>
      </c>
      <c r="F2" s="3"/>
      <c r="G2">
        <v>0</v>
      </c>
    </row>
    <row r="3" spans="1:7" x14ac:dyDescent="0.4">
      <c r="A3" s="1" t="s">
        <v>0</v>
      </c>
      <c r="B3" s="4">
        <v>481850</v>
      </c>
      <c r="C3">
        <v>1</v>
      </c>
      <c r="E3" s="3">
        <v>45474</v>
      </c>
      <c r="F3" s="3"/>
      <c r="G3">
        <v>0</v>
      </c>
    </row>
    <row r="4" spans="1:7" x14ac:dyDescent="0.4">
      <c r="A4" s="1" t="s">
        <v>1</v>
      </c>
      <c r="B4" s="4" t="s">
        <v>40</v>
      </c>
      <c r="C4">
        <v>1</v>
      </c>
      <c r="E4" s="3">
        <v>45026</v>
      </c>
      <c r="F4" s="3"/>
      <c r="G4">
        <v>0</v>
      </c>
    </row>
    <row r="5" spans="1:7" x14ac:dyDescent="0.4">
      <c r="A5" s="1" t="s">
        <v>2</v>
      </c>
      <c r="B5" s="4" t="s">
        <v>41</v>
      </c>
      <c r="C5">
        <v>1</v>
      </c>
      <c r="E5" s="3">
        <v>45012</v>
      </c>
      <c r="F5" s="3"/>
      <c r="G5">
        <v>0</v>
      </c>
    </row>
    <row r="6" spans="1:7" x14ac:dyDescent="0.4">
      <c r="A6" s="1" t="s">
        <v>3</v>
      </c>
      <c r="B6" s="4" t="s">
        <v>112</v>
      </c>
      <c r="C6">
        <v>1</v>
      </c>
      <c r="E6" s="3">
        <v>44840</v>
      </c>
      <c r="F6" s="3"/>
      <c r="G6">
        <v>0</v>
      </c>
    </row>
    <row r="7" spans="1:7" x14ac:dyDescent="0.4">
      <c r="A7" s="1" t="s">
        <v>42</v>
      </c>
      <c r="B7" s="4" t="s">
        <v>43</v>
      </c>
      <c r="C7">
        <v>1</v>
      </c>
      <c r="E7" s="3">
        <v>44648</v>
      </c>
      <c r="F7" s="3"/>
      <c r="G7">
        <v>0</v>
      </c>
    </row>
    <row r="8" spans="1:7" x14ac:dyDescent="0.4">
      <c r="A8" s="1" t="s">
        <v>4</v>
      </c>
      <c r="B8" s="4" t="s">
        <v>44</v>
      </c>
      <c r="C8">
        <v>0</v>
      </c>
      <c r="D8" t="s">
        <v>33</v>
      </c>
      <c r="E8" s="3">
        <v>42635</v>
      </c>
      <c r="F8" s="3">
        <v>45803</v>
      </c>
      <c r="G8">
        <v>0</v>
      </c>
    </row>
    <row r="9" spans="1:7" x14ac:dyDescent="0.4">
      <c r="A9" s="1" t="s">
        <v>5</v>
      </c>
      <c r="B9" s="4" t="s">
        <v>45</v>
      </c>
      <c r="C9">
        <v>1</v>
      </c>
      <c r="E9" s="3">
        <v>40939</v>
      </c>
      <c r="F9" s="3"/>
      <c r="G9">
        <v>0</v>
      </c>
    </row>
    <row r="10" spans="1:7" x14ac:dyDescent="0.4">
      <c r="A10" s="1" t="s">
        <v>6</v>
      </c>
      <c r="B10" s="4" t="s">
        <v>110</v>
      </c>
      <c r="C10">
        <v>0</v>
      </c>
      <c r="D10" t="s">
        <v>34</v>
      </c>
      <c r="E10" s="3">
        <v>40738</v>
      </c>
      <c r="F10" s="3">
        <v>45889</v>
      </c>
      <c r="G10">
        <v>0</v>
      </c>
    </row>
    <row r="11" spans="1:7" x14ac:dyDescent="0.4">
      <c r="A11" s="1" t="s">
        <v>36</v>
      </c>
      <c r="B11" s="4" t="s">
        <v>109</v>
      </c>
      <c r="C11">
        <v>1</v>
      </c>
      <c r="E11" s="3">
        <v>44712</v>
      </c>
      <c r="F11" s="3"/>
      <c r="G11">
        <v>0</v>
      </c>
    </row>
    <row r="12" spans="1:7" x14ac:dyDescent="0.4">
      <c r="A12" s="6" t="s">
        <v>7</v>
      </c>
      <c r="B12" s="4" t="s">
        <v>47</v>
      </c>
      <c r="C12">
        <v>1</v>
      </c>
      <c r="E12" s="3">
        <v>44540</v>
      </c>
      <c r="F12" s="3"/>
      <c r="G12">
        <v>1</v>
      </c>
    </row>
    <row r="13" spans="1:7" x14ac:dyDescent="0.4">
      <c r="A13" s="1" t="s">
        <v>8</v>
      </c>
      <c r="B13" s="4" t="s">
        <v>48</v>
      </c>
      <c r="C13">
        <v>1</v>
      </c>
      <c r="E13" s="3">
        <v>44533</v>
      </c>
      <c r="F13" s="3"/>
      <c r="G13">
        <v>1</v>
      </c>
    </row>
    <row r="14" spans="1:7" x14ac:dyDescent="0.4">
      <c r="A14" s="1" t="s">
        <v>9</v>
      </c>
      <c r="B14" s="4" t="s">
        <v>49</v>
      </c>
      <c r="C14">
        <v>1</v>
      </c>
      <c r="E14" s="3">
        <v>44518</v>
      </c>
      <c r="F14" s="3"/>
      <c r="G14">
        <v>1</v>
      </c>
    </row>
    <row r="15" spans="1:7" x14ac:dyDescent="0.4">
      <c r="A15" s="6" t="s">
        <v>10</v>
      </c>
      <c r="B15" s="4" t="s">
        <v>50</v>
      </c>
      <c r="C15">
        <v>1</v>
      </c>
      <c r="E15" s="3">
        <v>44453</v>
      </c>
      <c r="F15" s="3"/>
      <c r="G15">
        <v>1</v>
      </c>
    </row>
    <row r="16" spans="1:7" x14ac:dyDescent="0.4">
      <c r="A16" s="1" t="s">
        <v>11</v>
      </c>
      <c r="B16" s="4" t="s">
        <v>111</v>
      </c>
      <c r="C16">
        <v>1</v>
      </c>
      <c r="E16" s="3">
        <v>44435</v>
      </c>
      <c r="F16" s="3"/>
      <c r="G16">
        <v>1</v>
      </c>
    </row>
    <row r="17" spans="1:7" x14ac:dyDescent="0.4">
      <c r="A17" s="6" t="s">
        <v>12</v>
      </c>
      <c r="B17" s="4" t="s">
        <v>51</v>
      </c>
      <c r="C17">
        <v>1</v>
      </c>
      <c r="E17" s="3">
        <v>44188</v>
      </c>
      <c r="F17" s="3"/>
      <c r="G17">
        <v>1</v>
      </c>
    </row>
    <row r="18" spans="1:7" x14ac:dyDescent="0.4">
      <c r="A18" s="6" t="s">
        <v>13</v>
      </c>
      <c r="B18" s="4" t="s">
        <v>52</v>
      </c>
      <c r="C18">
        <v>1</v>
      </c>
      <c r="E18" s="3">
        <v>44074</v>
      </c>
      <c r="F18" s="3"/>
      <c r="G18">
        <v>1</v>
      </c>
    </row>
    <row r="19" spans="1:7" x14ac:dyDescent="0.4">
      <c r="A19" s="1" t="s">
        <v>14</v>
      </c>
      <c r="B19" s="4" t="s">
        <v>53</v>
      </c>
      <c r="C19">
        <v>1</v>
      </c>
      <c r="E19" s="3">
        <v>44050</v>
      </c>
      <c r="F19" s="3"/>
      <c r="G19">
        <v>1</v>
      </c>
    </row>
    <row r="20" spans="1:7" x14ac:dyDescent="0.4">
      <c r="A20" s="6" t="s">
        <v>15</v>
      </c>
      <c r="B20" s="4" t="s">
        <v>54</v>
      </c>
      <c r="C20">
        <v>1</v>
      </c>
      <c r="E20" s="3">
        <v>44048</v>
      </c>
      <c r="F20" s="3"/>
      <c r="G20">
        <v>1</v>
      </c>
    </row>
    <row r="21" spans="1:7" x14ac:dyDescent="0.4">
      <c r="A21" s="6" t="s">
        <v>16</v>
      </c>
      <c r="B21" s="4" t="s">
        <v>55</v>
      </c>
      <c r="C21">
        <v>1</v>
      </c>
      <c r="E21" s="3">
        <v>44048</v>
      </c>
      <c r="F21" s="3"/>
      <c r="G21">
        <v>1</v>
      </c>
    </row>
    <row r="22" spans="1:7" x14ac:dyDescent="0.4">
      <c r="A22" s="6" t="s">
        <v>17</v>
      </c>
      <c r="B22" s="4" t="s">
        <v>56</v>
      </c>
      <c r="C22">
        <v>1</v>
      </c>
      <c r="E22" s="3">
        <v>44028</v>
      </c>
      <c r="F22" s="3"/>
      <c r="G22">
        <v>1</v>
      </c>
    </row>
    <row r="23" spans="1:7" x14ac:dyDescent="0.4">
      <c r="A23" s="1" t="s">
        <v>18</v>
      </c>
      <c r="B23" s="4" t="s">
        <v>57</v>
      </c>
      <c r="C23">
        <v>1</v>
      </c>
      <c r="E23" s="3">
        <v>43804</v>
      </c>
      <c r="F23" s="3"/>
      <c r="G23">
        <v>1</v>
      </c>
    </row>
    <row r="24" spans="1:7" x14ac:dyDescent="0.4">
      <c r="A24" s="6" t="s">
        <v>19</v>
      </c>
      <c r="B24" s="4" t="s">
        <v>58</v>
      </c>
      <c r="C24">
        <v>1</v>
      </c>
      <c r="E24" s="3">
        <v>43768</v>
      </c>
      <c r="F24" s="3"/>
      <c r="G24">
        <v>1</v>
      </c>
    </row>
    <row r="25" spans="1:7" x14ac:dyDescent="0.4">
      <c r="A25" s="1" t="s">
        <v>20</v>
      </c>
      <c r="B25" s="4" t="s">
        <v>59</v>
      </c>
      <c r="C25">
        <v>1</v>
      </c>
      <c r="E25" s="3">
        <v>43320</v>
      </c>
      <c r="F25" s="3"/>
      <c r="G25">
        <v>1</v>
      </c>
    </row>
    <row r="26" spans="1:7" x14ac:dyDescent="0.4">
      <c r="A26" s="2" t="s">
        <v>21</v>
      </c>
      <c r="B26" s="4" t="s">
        <v>60</v>
      </c>
      <c r="C26">
        <v>1</v>
      </c>
      <c r="E26" s="3">
        <v>43278</v>
      </c>
      <c r="F26" s="3"/>
      <c r="G26">
        <v>1</v>
      </c>
    </row>
    <row r="27" spans="1:7" x14ac:dyDescent="0.4">
      <c r="A27" s="1" t="s">
        <v>27</v>
      </c>
      <c r="B27" s="4" t="s">
        <v>61</v>
      </c>
      <c r="C27">
        <v>0</v>
      </c>
      <c r="D27" t="s">
        <v>33</v>
      </c>
      <c r="E27" s="3">
        <v>40430</v>
      </c>
      <c r="F27" s="3">
        <v>40718</v>
      </c>
      <c r="G27">
        <v>0</v>
      </c>
    </row>
    <row r="28" spans="1:7" x14ac:dyDescent="0.4">
      <c r="A28" s="1" t="s">
        <v>28</v>
      </c>
      <c r="B28" s="4" t="s">
        <v>66</v>
      </c>
      <c r="C28">
        <v>0</v>
      </c>
      <c r="D28" t="s">
        <v>33</v>
      </c>
      <c r="E28" s="3">
        <v>40301</v>
      </c>
      <c r="F28" s="3">
        <v>41892</v>
      </c>
      <c r="G28">
        <v>0</v>
      </c>
    </row>
    <row r="29" spans="1:7" x14ac:dyDescent="0.4">
      <c r="A29" s="1" t="s">
        <v>29</v>
      </c>
      <c r="B29" s="4" t="s">
        <v>62</v>
      </c>
      <c r="C29">
        <v>0</v>
      </c>
      <c r="D29" t="s">
        <v>33</v>
      </c>
      <c r="E29" s="3">
        <v>41815</v>
      </c>
      <c r="F29" s="3">
        <v>41940</v>
      </c>
      <c r="G29">
        <v>0</v>
      </c>
    </row>
    <row r="30" spans="1:7" x14ac:dyDescent="0.4">
      <c r="A30" s="1" t="s">
        <v>38</v>
      </c>
      <c r="B30" s="4" t="s">
        <v>63</v>
      </c>
      <c r="C30">
        <v>0</v>
      </c>
      <c r="D30" t="s">
        <v>34</v>
      </c>
      <c r="E30" s="3">
        <v>40612</v>
      </c>
      <c r="F30" s="3">
        <v>42065</v>
      </c>
      <c r="G30">
        <v>0</v>
      </c>
    </row>
    <row r="31" spans="1:7" x14ac:dyDescent="0.4">
      <c r="A31" s="1" t="s">
        <v>30</v>
      </c>
      <c r="B31" s="4" t="s">
        <v>46</v>
      </c>
      <c r="C31">
        <v>0</v>
      </c>
      <c r="D31" t="s">
        <v>33</v>
      </c>
      <c r="E31" s="3">
        <v>40738</v>
      </c>
      <c r="F31" s="3">
        <v>42031</v>
      </c>
      <c r="G31">
        <v>0</v>
      </c>
    </row>
    <row r="32" spans="1:7" x14ac:dyDescent="0.4">
      <c r="A32" s="1" t="s">
        <v>31</v>
      </c>
      <c r="B32" s="4" t="s">
        <v>64</v>
      </c>
      <c r="C32">
        <v>0</v>
      </c>
      <c r="D32" t="s">
        <v>67</v>
      </c>
      <c r="E32" s="3">
        <v>40816</v>
      </c>
      <c r="F32" s="3">
        <v>43161</v>
      </c>
      <c r="G32">
        <v>0</v>
      </c>
    </row>
    <row r="33" spans="1:7" x14ac:dyDescent="0.4">
      <c r="A33" s="1" t="s">
        <v>35</v>
      </c>
      <c r="B33" s="4" t="s">
        <v>65</v>
      </c>
      <c r="C33">
        <v>0</v>
      </c>
      <c r="D33" t="s">
        <v>34</v>
      </c>
      <c r="E33" s="3">
        <v>41072</v>
      </c>
      <c r="F33" s="3">
        <v>42024</v>
      </c>
      <c r="G33">
        <v>0</v>
      </c>
    </row>
    <row r="34" spans="1:7" x14ac:dyDescent="0.4">
      <c r="A34" s="1"/>
      <c r="E34" s="3"/>
    </row>
    <row r="35" spans="1:7" x14ac:dyDescent="0.4">
      <c r="A35" s="1"/>
    </row>
    <row r="36" spans="1:7" x14ac:dyDescent="0.4">
      <c r="A36" s="1"/>
    </row>
    <row r="37" spans="1:7" x14ac:dyDescent="0.4">
      <c r="A3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8196-880E-4B62-B320-D57854523825}">
  <dimension ref="A1:L130"/>
  <sheetViews>
    <sheetView tabSelected="1" topLeftCell="A88" zoomScale="77" workbookViewId="0">
      <selection activeCell="B133" sqref="B133"/>
    </sheetView>
  </sheetViews>
  <sheetFormatPr defaultColWidth="8.69921875" defaultRowHeight="9.6" x14ac:dyDescent="0.2"/>
  <cols>
    <col min="1" max="3" width="10.59765625" style="19" customWidth="1"/>
    <col min="4" max="4" width="19" style="7" bestFit="1" customWidth="1"/>
    <col min="5" max="6" width="10.59765625" style="7" customWidth="1"/>
    <col min="7" max="7" width="10.69921875" style="7" customWidth="1"/>
    <col min="8" max="8" width="14" style="7" customWidth="1"/>
    <col min="9" max="9" width="10.59765625" style="7" customWidth="1"/>
    <col min="10" max="11" width="11.19921875" style="7" customWidth="1"/>
    <col min="12" max="12" width="63.796875" style="20" customWidth="1"/>
    <col min="13" max="16384" width="8.69921875" style="20"/>
  </cols>
  <sheetData>
    <row r="1" spans="1:12" x14ac:dyDescent="0.2">
      <c r="A1" s="19" t="s">
        <v>76</v>
      </c>
      <c r="B1" s="19" t="s">
        <v>77</v>
      </c>
      <c r="C1" s="19" t="s">
        <v>91</v>
      </c>
      <c r="D1" s="7" t="s">
        <v>78</v>
      </c>
      <c r="E1" s="7" t="s">
        <v>79</v>
      </c>
      <c r="F1" s="7" t="s">
        <v>80</v>
      </c>
      <c r="G1" s="7" t="s">
        <v>87</v>
      </c>
      <c r="H1" s="7" t="s">
        <v>81</v>
      </c>
      <c r="I1" s="7" t="s">
        <v>88</v>
      </c>
      <c r="J1" s="7" t="s">
        <v>82</v>
      </c>
      <c r="K1" s="7" t="s">
        <v>100</v>
      </c>
      <c r="L1" s="20" t="s">
        <v>85</v>
      </c>
    </row>
    <row r="2" spans="1:12" x14ac:dyDescent="0.2">
      <c r="A2" s="19" t="s">
        <v>83</v>
      </c>
      <c r="B2" s="19" t="s">
        <v>69</v>
      </c>
      <c r="C2" s="19" t="s">
        <v>92</v>
      </c>
      <c r="D2" s="7" t="s">
        <v>70</v>
      </c>
      <c r="E2" s="7" t="s">
        <v>71</v>
      </c>
      <c r="F2" s="7" t="s">
        <v>72</v>
      </c>
      <c r="G2" s="7" t="s">
        <v>73</v>
      </c>
      <c r="H2" s="7" t="s">
        <v>74</v>
      </c>
      <c r="I2" s="7" t="s">
        <v>75</v>
      </c>
      <c r="J2" s="7" t="s">
        <v>84</v>
      </c>
      <c r="K2" s="7" t="s">
        <v>99</v>
      </c>
      <c r="L2" s="20" t="s">
        <v>86</v>
      </c>
    </row>
    <row r="3" spans="1:12" x14ac:dyDescent="0.2">
      <c r="A3" s="19">
        <v>2025</v>
      </c>
      <c r="B3" s="19">
        <v>1</v>
      </c>
      <c r="C3" s="19">
        <v>395400</v>
      </c>
      <c r="D3" s="7">
        <f>SUM(30116559104,32598455360)</f>
        <v>62715014464</v>
      </c>
      <c r="E3" s="7">
        <f>SUM(0, 12157334000)</f>
        <v>12157334000</v>
      </c>
      <c r="F3" s="8">
        <v>0</v>
      </c>
      <c r="G3" s="8">
        <f>SUM(1342113000,0)</f>
        <v>1342113000</v>
      </c>
      <c r="H3" s="8">
        <f>SUM(14578999000, 19471188000)</f>
        <v>34050187000</v>
      </c>
      <c r="I3" s="7">
        <f>SUM(0, 17606000)</f>
        <v>17606000</v>
      </c>
      <c r="J3" s="7">
        <f>SUM(19197000000, 19333000000)</f>
        <v>38530000000</v>
      </c>
      <c r="K3" s="7">
        <f>SUM(66, 70)</f>
        <v>136</v>
      </c>
      <c r="L3" s="20" t="s">
        <v>89</v>
      </c>
    </row>
    <row r="4" spans="1:12" x14ac:dyDescent="0.2">
      <c r="A4" s="19">
        <v>2024</v>
      </c>
      <c r="B4" s="19">
        <v>2</v>
      </c>
      <c r="C4" s="19">
        <v>395400</v>
      </c>
      <c r="D4" s="8">
        <f>SUM(1149154796, -1376259852)</f>
        <v>-227105056</v>
      </c>
      <c r="E4" s="8">
        <f>SUM(12020899000, 11960235000)</f>
        <v>23981134000</v>
      </c>
      <c r="F4" s="7">
        <v>0</v>
      </c>
      <c r="G4" s="7">
        <f>SUM(11640673000,0)</f>
        <v>11640673000</v>
      </c>
      <c r="H4" s="8"/>
      <c r="I4" s="8"/>
      <c r="J4" s="7">
        <f>SUM(18004000000, 18004000000)</f>
        <v>36008000000</v>
      </c>
      <c r="K4" s="7">
        <f>SUM(66, 66)</f>
        <v>132</v>
      </c>
      <c r="L4" s="20" t="s">
        <v>90</v>
      </c>
    </row>
    <row r="5" spans="1:12" x14ac:dyDescent="0.2">
      <c r="A5" s="19">
        <v>2024</v>
      </c>
      <c r="B5" s="19">
        <v>1</v>
      </c>
      <c r="C5" s="19">
        <v>395400</v>
      </c>
      <c r="D5" s="7">
        <f>SUM(4183377013, 4719506335)</f>
        <v>8902883348</v>
      </c>
      <c r="E5" s="7">
        <f>SUM(11829781000,11829235000)</f>
        <v>23659016000</v>
      </c>
      <c r="F5" s="7">
        <v>0</v>
      </c>
      <c r="G5" s="7">
        <v>0</v>
      </c>
      <c r="I5" s="8"/>
      <c r="J5" s="7">
        <f>SUM(17829000000, 17829000000)</f>
        <v>35658000000</v>
      </c>
      <c r="K5" s="7">
        <f>SUM(66, 66)</f>
        <v>132</v>
      </c>
    </row>
    <row r="6" spans="1:12" x14ac:dyDescent="0.2">
      <c r="A6" s="19">
        <v>2023</v>
      </c>
      <c r="B6" s="19">
        <v>2</v>
      </c>
      <c r="C6" s="19">
        <v>395400</v>
      </c>
      <c r="D6" s="7">
        <f>SUM(3586323419, 13956635448)</f>
        <v>17542958867</v>
      </c>
      <c r="E6" s="7">
        <f>SUM(11924593000, 5230369000)</f>
        <v>17154962000</v>
      </c>
      <c r="F6" s="7">
        <v>0</v>
      </c>
      <c r="G6" s="7">
        <f>SUM(0, 23115811000)</f>
        <v>23115811000</v>
      </c>
      <c r="I6" s="8"/>
      <c r="J6" s="7">
        <f>SUM(24582000000, 17886000000)</f>
        <v>42468000000</v>
      </c>
      <c r="K6" s="7">
        <f>SUM(91, 91)</f>
        <v>182</v>
      </c>
    </row>
    <row r="7" spans="1:12" x14ac:dyDescent="0.2">
      <c r="A7" s="19">
        <v>2023</v>
      </c>
      <c r="B7" s="19">
        <v>1</v>
      </c>
      <c r="C7" s="19">
        <v>395400</v>
      </c>
      <c r="D7" s="7">
        <f>SUM(3488012134, 3663304774)</f>
        <v>7151316908</v>
      </c>
      <c r="E7" s="7">
        <f>SUM(4709452000, 4657356000)</f>
        <v>9366808000</v>
      </c>
      <c r="F7" s="7">
        <v>0</v>
      </c>
      <c r="G7" s="7">
        <v>0</v>
      </c>
      <c r="I7" s="8"/>
      <c r="J7" s="7">
        <f>SUM(12973000000, 12973000000)</f>
        <v>25946000000</v>
      </c>
      <c r="K7" s="7">
        <f>SUM(66, 66)</f>
        <v>132</v>
      </c>
    </row>
    <row r="8" spans="1:12" x14ac:dyDescent="0.2">
      <c r="A8" s="19">
        <v>2022</v>
      </c>
      <c r="B8" s="19">
        <v>2</v>
      </c>
      <c r="C8" s="19">
        <v>395400</v>
      </c>
      <c r="D8" s="7">
        <f>SUM(3732637782, 7263833504)</f>
        <v>10996471286</v>
      </c>
      <c r="E8" s="7">
        <f>SUM(4630060000, 4092357000)</f>
        <v>8722417000</v>
      </c>
      <c r="F8" s="7">
        <v>0</v>
      </c>
      <c r="G8" s="7">
        <v>0</v>
      </c>
      <c r="I8" s="8"/>
      <c r="J8" s="7">
        <f>SUM(12973000000, 12973000000)</f>
        <v>25946000000</v>
      </c>
      <c r="K8" s="7">
        <f>SUM(66, 66)</f>
        <v>132</v>
      </c>
    </row>
    <row r="9" spans="1:12" x14ac:dyDescent="0.2">
      <c r="A9" s="19">
        <v>2022</v>
      </c>
      <c r="B9" s="19">
        <v>1</v>
      </c>
      <c r="C9" s="19">
        <v>395400</v>
      </c>
      <c r="D9" s="7">
        <f>SUM(8798969058, 9136745023)</f>
        <v>17935714081</v>
      </c>
      <c r="E9" s="7">
        <f>SUM(2098912000, 2054428000)</f>
        <v>4153340000</v>
      </c>
      <c r="F9" s="7">
        <v>0</v>
      </c>
      <c r="G9" s="7">
        <v>0</v>
      </c>
      <c r="I9" s="8"/>
      <c r="J9" s="7">
        <f>SUM(10950000000, 11082000000)</f>
        <v>22032000000</v>
      </c>
      <c r="K9" s="7">
        <f>SUM(70, 71)</f>
        <v>141</v>
      </c>
    </row>
    <row r="10" spans="1:12" x14ac:dyDescent="0.2">
      <c r="A10" s="19">
        <v>2021</v>
      </c>
      <c r="B10" s="19">
        <v>2</v>
      </c>
      <c r="C10" s="19">
        <v>395400</v>
      </c>
      <c r="D10" s="7">
        <f>SUM(8775350689, 6277047547)</f>
        <v>15052398236</v>
      </c>
      <c r="E10" s="7">
        <f>SUM(2094885000, 1973933000)</f>
        <v>4068818000</v>
      </c>
      <c r="F10" s="7">
        <v>0</v>
      </c>
      <c r="G10" s="7">
        <v>0</v>
      </c>
      <c r="I10" s="8"/>
      <c r="J10" s="7">
        <f>SUM(10870000000, 8251000000)</f>
        <v>19121000000</v>
      </c>
      <c r="K10" s="7">
        <f>SUM(70, 53)</f>
        <v>123</v>
      </c>
    </row>
    <row r="11" spans="1:12" x14ac:dyDescent="0.2">
      <c r="A11" s="19">
        <v>2025</v>
      </c>
      <c r="B11" s="19">
        <v>1</v>
      </c>
      <c r="C11" s="19">
        <v>330590</v>
      </c>
      <c r="D11" s="8">
        <v>16546765792</v>
      </c>
      <c r="E11" s="8">
        <v>19645368000</v>
      </c>
      <c r="F11" s="7">
        <v>0</v>
      </c>
      <c r="G11" s="7">
        <v>0</v>
      </c>
      <c r="J11" s="7">
        <v>33809000000</v>
      </c>
      <c r="K11" s="7">
        <v>117</v>
      </c>
    </row>
    <row r="12" spans="1:12" x14ac:dyDescent="0.2">
      <c r="A12" s="19">
        <v>2024</v>
      </c>
      <c r="B12" s="19">
        <v>2</v>
      </c>
      <c r="C12" s="19">
        <v>330590</v>
      </c>
      <c r="D12" s="8">
        <v>10613567528</v>
      </c>
      <c r="E12" s="8">
        <v>19597700000</v>
      </c>
      <c r="F12" s="7">
        <v>0</v>
      </c>
      <c r="G12" s="7">
        <v>0</v>
      </c>
      <c r="J12" s="8">
        <v>32365000000</v>
      </c>
      <c r="K12" s="8">
        <v>112</v>
      </c>
    </row>
    <row r="13" spans="1:12" x14ac:dyDescent="0.2">
      <c r="A13" s="19">
        <v>2024</v>
      </c>
      <c r="B13" s="19">
        <v>1</v>
      </c>
      <c r="C13" s="19">
        <v>330590</v>
      </c>
      <c r="D13" s="8">
        <v>5841464604</v>
      </c>
      <c r="E13" s="8">
        <v>19226790000</v>
      </c>
      <c r="F13" s="7">
        <v>0</v>
      </c>
      <c r="G13" s="7">
        <v>0</v>
      </c>
      <c r="J13" s="8">
        <v>25026000000</v>
      </c>
      <c r="K13" s="8">
        <v>103</v>
      </c>
    </row>
    <row r="14" spans="1:12" x14ac:dyDescent="0.2">
      <c r="A14" s="19">
        <v>2023</v>
      </c>
      <c r="B14" s="19">
        <v>2</v>
      </c>
      <c r="C14" s="19">
        <v>330590</v>
      </c>
      <c r="D14" s="8">
        <v>3177878339</v>
      </c>
      <c r="E14" s="8">
        <v>20056320000</v>
      </c>
      <c r="F14" s="7">
        <v>0</v>
      </c>
      <c r="G14" s="7">
        <v>0</v>
      </c>
      <c r="J14" s="8">
        <v>23234000000</v>
      </c>
      <c r="K14" s="8">
        <v>95</v>
      </c>
      <c r="L14" s="5"/>
    </row>
    <row r="15" spans="1:12" x14ac:dyDescent="0.2">
      <c r="A15" s="19">
        <v>2023</v>
      </c>
      <c r="B15" s="19">
        <v>1</v>
      </c>
      <c r="C15" s="19">
        <v>330590</v>
      </c>
      <c r="D15" s="8">
        <v>5865520288</v>
      </c>
      <c r="E15" s="8">
        <v>20662515000</v>
      </c>
      <c r="F15" s="7">
        <v>0</v>
      </c>
      <c r="G15" s="7">
        <v>0</v>
      </c>
      <c r="J15" s="8">
        <v>26528000000</v>
      </c>
      <c r="K15" s="8">
        <v>109</v>
      </c>
    </row>
    <row r="16" spans="1:12" x14ac:dyDescent="0.2">
      <c r="A16" s="19">
        <v>2022</v>
      </c>
      <c r="B16" s="19">
        <v>2</v>
      </c>
      <c r="C16" s="19">
        <v>330590</v>
      </c>
      <c r="D16" s="8">
        <v>14114824803</v>
      </c>
      <c r="E16" s="8">
        <v>20662515000</v>
      </c>
      <c r="F16" s="7">
        <v>0</v>
      </c>
      <c r="G16" s="7">
        <v>0</v>
      </c>
      <c r="J16" s="8">
        <v>34777000000</v>
      </c>
      <c r="K16" s="8">
        <v>143</v>
      </c>
    </row>
    <row r="17" spans="1:12" x14ac:dyDescent="0.2">
      <c r="A17" s="19">
        <v>2022</v>
      </c>
      <c r="B17" s="19">
        <v>1</v>
      </c>
      <c r="C17" s="19">
        <v>330590</v>
      </c>
      <c r="D17" s="8">
        <v>19028588290</v>
      </c>
      <c r="E17" s="8">
        <v>20662515000</v>
      </c>
      <c r="F17" s="7">
        <v>0</v>
      </c>
      <c r="G17" s="7">
        <v>0</v>
      </c>
      <c r="J17" s="8">
        <v>39691000000</v>
      </c>
      <c r="K17" s="8">
        <v>163</v>
      </c>
    </row>
    <row r="18" spans="1:12" x14ac:dyDescent="0.2">
      <c r="A18" s="19">
        <v>2021</v>
      </c>
      <c r="B18" s="19">
        <v>2</v>
      </c>
      <c r="C18" s="19">
        <v>330590</v>
      </c>
      <c r="D18" s="8">
        <v>18405981757</v>
      </c>
      <c r="E18" s="8">
        <v>20402327000</v>
      </c>
      <c r="F18" s="7">
        <v>0</v>
      </c>
      <c r="G18" s="7">
        <v>0</v>
      </c>
      <c r="J18" s="8">
        <v>38808000000</v>
      </c>
      <c r="K18" s="8">
        <v>159</v>
      </c>
    </row>
    <row r="19" spans="1:12" x14ac:dyDescent="0.2">
      <c r="A19" s="19">
        <v>2021</v>
      </c>
      <c r="B19" s="19">
        <v>1</v>
      </c>
      <c r="C19" s="19">
        <v>330590</v>
      </c>
      <c r="D19" s="8">
        <v>16978460612</v>
      </c>
      <c r="E19" s="8">
        <v>16978754000</v>
      </c>
      <c r="F19" s="7">
        <v>0</v>
      </c>
      <c r="G19" s="7">
        <v>0</v>
      </c>
      <c r="J19" s="8">
        <v>33957000000</v>
      </c>
      <c r="K19" s="8">
        <v>139</v>
      </c>
    </row>
    <row r="20" spans="1:12" x14ac:dyDescent="0.2">
      <c r="A20" s="19">
        <v>2020</v>
      </c>
      <c r="B20" s="19">
        <v>2</v>
      </c>
      <c r="C20" s="19">
        <v>330590</v>
      </c>
      <c r="D20" s="8">
        <v>15613436889</v>
      </c>
      <c r="E20" s="8">
        <v>12224577000</v>
      </c>
      <c r="F20" s="7">
        <v>0</v>
      </c>
      <c r="G20" s="7">
        <v>0</v>
      </c>
      <c r="J20" s="8">
        <v>27838000000</v>
      </c>
      <c r="K20" s="8">
        <v>161</v>
      </c>
      <c r="L20" s="5"/>
    </row>
    <row r="21" spans="1:12" x14ac:dyDescent="0.2">
      <c r="A21" s="19">
        <v>2020</v>
      </c>
      <c r="B21" s="19">
        <v>1</v>
      </c>
      <c r="C21" s="19">
        <v>330590</v>
      </c>
      <c r="D21" s="8">
        <v>15547730007</v>
      </c>
      <c r="E21" s="8">
        <v>12229863000</v>
      </c>
      <c r="F21" s="7">
        <v>0</v>
      </c>
      <c r="G21" s="7">
        <v>0</v>
      </c>
      <c r="J21" s="8">
        <v>27778000000</v>
      </c>
      <c r="K21" s="8">
        <v>161</v>
      </c>
    </row>
    <row r="22" spans="1:12" x14ac:dyDescent="0.2">
      <c r="A22" s="19">
        <v>2019</v>
      </c>
      <c r="B22" s="19">
        <v>2</v>
      </c>
      <c r="C22" s="19">
        <v>330590</v>
      </c>
      <c r="D22" s="8">
        <v>10581368427</v>
      </c>
      <c r="E22" s="8">
        <v>6006502000</v>
      </c>
      <c r="F22" s="7">
        <v>0</v>
      </c>
      <c r="G22" s="7">
        <v>0</v>
      </c>
      <c r="J22" s="8">
        <v>16588000000</v>
      </c>
      <c r="K22" s="8">
        <v>96</v>
      </c>
    </row>
    <row r="23" spans="1:12" x14ac:dyDescent="0.2">
      <c r="A23" s="19">
        <v>2019</v>
      </c>
      <c r="B23" s="19" t="s">
        <v>93</v>
      </c>
      <c r="C23" s="19">
        <v>330590</v>
      </c>
      <c r="D23" s="8">
        <v>2924697613.5425529</v>
      </c>
      <c r="E23" s="8">
        <v>589191585.10638297</v>
      </c>
      <c r="F23" s="7">
        <v>0</v>
      </c>
      <c r="G23" s="7">
        <v>0</v>
      </c>
      <c r="J23" s="8">
        <v>3514095744.680851</v>
      </c>
      <c r="K23" s="8">
        <v>21</v>
      </c>
    </row>
    <row r="24" spans="1:12" x14ac:dyDescent="0.2">
      <c r="A24" s="19">
        <v>2025</v>
      </c>
      <c r="B24" s="19">
        <v>1</v>
      </c>
      <c r="C24" s="19">
        <v>404990</v>
      </c>
      <c r="D24" s="7">
        <v>-3670178085</v>
      </c>
      <c r="E24" s="8">
        <v>5343821162</v>
      </c>
      <c r="F24" s="7">
        <v>0</v>
      </c>
      <c r="G24" s="7">
        <v>0</v>
      </c>
      <c r="J24" s="8">
        <v>7313000000</v>
      </c>
      <c r="K24" s="8">
        <v>130</v>
      </c>
      <c r="L24" s="5"/>
    </row>
    <row r="25" spans="1:12" x14ac:dyDescent="0.2">
      <c r="A25" s="19">
        <v>2024</v>
      </c>
      <c r="B25" s="19">
        <v>2</v>
      </c>
      <c r="C25" s="19">
        <v>404990</v>
      </c>
      <c r="D25" s="8">
        <v>10271178851</v>
      </c>
      <c r="E25" s="8">
        <v>4319999790</v>
      </c>
      <c r="F25" s="7">
        <v>0</v>
      </c>
      <c r="G25" s="7">
        <v>0</v>
      </c>
      <c r="J25" s="8">
        <v>7274000000</v>
      </c>
      <c r="K25" s="8">
        <v>130</v>
      </c>
    </row>
    <row r="26" spans="1:12" x14ac:dyDescent="0.2">
      <c r="A26" s="19">
        <v>2024</v>
      </c>
      <c r="B26" s="19">
        <v>1</v>
      </c>
      <c r="C26" s="19">
        <v>404990</v>
      </c>
      <c r="D26" s="7">
        <v>-1117791230</v>
      </c>
      <c r="E26" s="8">
        <v>4320000000</v>
      </c>
      <c r="F26" s="7">
        <v>0</v>
      </c>
      <c r="G26" s="7">
        <v>0</v>
      </c>
      <c r="J26" s="8">
        <v>6603000000</v>
      </c>
      <c r="K26" s="8">
        <v>118</v>
      </c>
      <c r="L26" s="5"/>
    </row>
    <row r="27" spans="1:12" x14ac:dyDescent="0.2">
      <c r="A27" s="19">
        <v>2023</v>
      </c>
      <c r="B27" s="19">
        <v>2</v>
      </c>
      <c r="C27" s="19">
        <v>404990</v>
      </c>
      <c r="D27" s="7">
        <v>5313300888</v>
      </c>
      <c r="E27" s="8">
        <v>4248532000</v>
      </c>
      <c r="F27" s="7">
        <v>0</v>
      </c>
      <c r="G27" s="7">
        <v>0</v>
      </c>
      <c r="J27" s="8">
        <v>7833000000</v>
      </c>
      <c r="K27" s="8">
        <v>140</v>
      </c>
    </row>
    <row r="28" spans="1:12" x14ac:dyDescent="0.2">
      <c r="A28" s="19">
        <v>2023</v>
      </c>
      <c r="B28" s="19">
        <v>1</v>
      </c>
      <c r="C28" s="19">
        <v>404990</v>
      </c>
      <c r="D28" s="8">
        <v>4503444459</v>
      </c>
      <c r="E28" s="8">
        <v>4109904000</v>
      </c>
      <c r="F28" s="7">
        <v>0</v>
      </c>
      <c r="G28" s="7">
        <v>0</v>
      </c>
      <c r="J28" s="8">
        <v>8393000000</v>
      </c>
      <c r="K28" s="8">
        <v>150</v>
      </c>
    </row>
    <row r="29" spans="1:12" x14ac:dyDescent="0.2">
      <c r="A29" s="19">
        <v>2022</v>
      </c>
      <c r="B29" s="19">
        <v>2</v>
      </c>
      <c r="C29" s="19">
        <v>404990</v>
      </c>
      <c r="D29" s="8">
        <v>5439414713</v>
      </c>
      <c r="E29" s="8">
        <v>4323033000</v>
      </c>
      <c r="F29" s="7">
        <v>0</v>
      </c>
      <c r="G29" s="7">
        <v>0</v>
      </c>
      <c r="J29" s="8">
        <v>8953000000</v>
      </c>
      <c r="K29" s="8">
        <v>160</v>
      </c>
    </row>
    <row r="30" spans="1:12" x14ac:dyDescent="0.2">
      <c r="A30" s="19">
        <v>2022</v>
      </c>
      <c r="B30" s="19">
        <v>1</v>
      </c>
      <c r="C30" s="19">
        <v>404990</v>
      </c>
      <c r="D30" s="8">
        <v>3321786667</v>
      </c>
      <c r="E30" s="8">
        <v>4405441000</v>
      </c>
      <c r="F30" s="7">
        <v>0</v>
      </c>
      <c r="G30" s="7">
        <v>0</v>
      </c>
      <c r="J30" s="8">
        <v>8729000000</v>
      </c>
      <c r="K30" s="8">
        <v>156</v>
      </c>
    </row>
    <row r="31" spans="1:12" x14ac:dyDescent="0.2">
      <c r="A31" s="19">
        <v>2021</v>
      </c>
      <c r="B31" s="19">
        <v>2</v>
      </c>
      <c r="C31" s="19">
        <v>404990</v>
      </c>
      <c r="D31" s="8">
        <v>1653483263</v>
      </c>
      <c r="E31" s="8">
        <v>3625769000</v>
      </c>
      <c r="F31" s="7">
        <v>0</v>
      </c>
      <c r="G31" s="7">
        <v>0</v>
      </c>
      <c r="J31" s="8">
        <v>4980000000</v>
      </c>
      <c r="K31" s="8">
        <v>89</v>
      </c>
    </row>
    <row r="32" spans="1:12" x14ac:dyDescent="0.2">
      <c r="A32" s="19">
        <v>2021</v>
      </c>
      <c r="B32" s="19">
        <v>1</v>
      </c>
      <c r="C32" s="19">
        <v>404990</v>
      </c>
      <c r="D32" s="7">
        <v>-347931693</v>
      </c>
      <c r="E32" s="8">
        <v>3497519000</v>
      </c>
      <c r="F32" s="7">
        <v>0</v>
      </c>
      <c r="G32" s="7">
        <v>0</v>
      </c>
      <c r="J32" s="8">
        <v>3477000000</v>
      </c>
      <c r="K32" s="8">
        <v>120</v>
      </c>
    </row>
    <row r="33" spans="1:12" x14ac:dyDescent="0.2">
      <c r="A33" s="19">
        <v>2025</v>
      </c>
      <c r="B33" s="19">
        <v>1</v>
      </c>
      <c r="C33" s="19">
        <v>357120</v>
      </c>
      <c r="D33" s="7">
        <v>12267643841</v>
      </c>
      <c r="E33" s="8">
        <v>4125835000</v>
      </c>
      <c r="F33" s="12">
        <v>739033000</v>
      </c>
      <c r="G33" s="12">
        <v>169119000</v>
      </c>
      <c r="J33" s="8">
        <v>15891000000</v>
      </c>
      <c r="K33" s="12">
        <v>163</v>
      </c>
    </row>
    <row r="34" spans="1:12" x14ac:dyDescent="0.2">
      <c r="A34" s="19">
        <v>2024</v>
      </c>
      <c r="B34" s="19">
        <v>2</v>
      </c>
      <c r="C34" s="19">
        <v>357120</v>
      </c>
      <c r="D34" s="7">
        <v>23754780543</v>
      </c>
      <c r="E34" s="8">
        <v>4118356000</v>
      </c>
      <c r="F34" s="7">
        <v>0</v>
      </c>
      <c r="G34" s="12">
        <v>508841000</v>
      </c>
      <c r="J34" s="8">
        <v>24217000000</v>
      </c>
      <c r="K34" s="12">
        <v>249</v>
      </c>
    </row>
    <row r="35" spans="1:12" x14ac:dyDescent="0.2">
      <c r="A35" s="19">
        <v>2024</v>
      </c>
      <c r="B35" s="19">
        <v>1</v>
      </c>
      <c r="C35" s="19">
        <v>357120</v>
      </c>
      <c r="D35" s="7">
        <v>11889851488</v>
      </c>
      <c r="E35" s="8">
        <v>3990113000</v>
      </c>
      <c r="F35" s="7">
        <v>0</v>
      </c>
      <c r="G35" s="12">
        <v>602409000</v>
      </c>
      <c r="J35" s="8">
        <v>14873000000</v>
      </c>
      <c r="K35" s="12">
        <v>168</v>
      </c>
    </row>
    <row r="36" spans="1:12" x14ac:dyDescent="0.2">
      <c r="A36" s="19">
        <v>2023</v>
      </c>
      <c r="B36" s="19">
        <v>2</v>
      </c>
      <c r="C36" s="19">
        <v>357120</v>
      </c>
      <c r="D36" s="7">
        <v>10740823332</v>
      </c>
      <c r="E36" s="8">
        <v>4118205000</v>
      </c>
      <c r="F36" s="7">
        <v>0</v>
      </c>
      <c r="G36" s="12">
        <v>1038392000</v>
      </c>
      <c r="J36" s="8">
        <v>14859000000</v>
      </c>
      <c r="K36" s="12">
        <v>168</v>
      </c>
    </row>
    <row r="37" spans="1:12" x14ac:dyDescent="0.2">
      <c r="A37" s="19">
        <v>2023</v>
      </c>
      <c r="B37" s="19">
        <v>1</v>
      </c>
      <c r="C37" s="19">
        <v>357120</v>
      </c>
      <c r="D37" s="7">
        <v>13700708129</v>
      </c>
      <c r="E37" s="8">
        <v>4034536000</v>
      </c>
      <c r="F37" s="12">
        <v>5229608000</v>
      </c>
      <c r="G37" s="7">
        <v>0</v>
      </c>
      <c r="I37" s="8">
        <v>0</v>
      </c>
      <c r="J37" s="8">
        <v>17735000000</v>
      </c>
      <c r="K37" s="12">
        <v>200</v>
      </c>
    </row>
    <row r="38" spans="1:12" x14ac:dyDescent="0.2">
      <c r="A38" s="19">
        <v>2022</v>
      </c>
      <c r="B38" s="19">
        <v>2</v>
      </c>
      <c r="C38" s="19">
        <v>357120</v>
      </c>
      <c r="D38" s="7">
        <v>11548987502</v>
      </c>
      <c r="E38" s="8">
        <v>4016847000</v>
      </c>
      <c r="F38" s="12">
        <v>2293181000</v>
      </c>
      <c r="G38" s="7">
        <v>0</v>
      </c>
      <c r="I38" s="8">
        <v>937602000</v>
      </c>
      <c r="J38" s="8">
        <v>15566000000</v>
      </c>
      <c r="K38" s="12">
        <v>175</v>
      </c>
      <c r="L38" s="20" t="s">
        <v>95</v>
      </c>
    </row>
    <row r="39" spans="1:12" x14ac:dyDescent="0.2">
      <c r="A39" s="19">
        <v>2022</v>
      </c>
      <c r="B39" s="19">
        <v>1</v>
      </c>
      <c r="C39" s="19">
        <v>357120</v>
      </c>
      <c r="D39" s="7">
        <v>12958406101</v>
      </c>
      <c r="E39" s="8">
        <v>2725724000</v>
      </c>
      <c r="F39" s="12">
        <v>3337236000</v>
      </c>
      <c r="G39" s="12">
        <v>56588000</v>
      </c>
      <c r="J39" s="8">
        <v>15684000000</v>
      </c>
      <c r="K39" s="12">
        <v>177</v>
      </c>
    </row>
    <row r="40" spans="1:12" x14ac:dyDescent="0.2">
      <c r="A40" s="19">
        <v>2021</v>
      </c>
      <c r="B40" s="19">
        <v>2</v>
      </c>
      <c r="C40" s="19">
        <v>357120</v>
      </c>
      <c r="D40" s="7">
        <v>20249161358</v>
      </c>
      <c r="E40" s="8">
        <v>1949040000</v>
      </c>
      <c r="F40" s="12">
        <v>17974954000</v>
      </c>
      <c r="G40" s="7">
        <v>0</v>
      </c>
      <c r="I40" s="12">
        <v>1272523000</v>
      </c>
      <c r="J40" s="8">
        <v>22198000000</v>
      </c>
      <c r="K40" s="12">
        <v>319</v>
      </c>
      <c r="L40" s="20" t="s">
        <v>95</v>
      </c>
    </row>
    <row r="41" spans="1:12" x14ac:dyDescent="0.2">
      <c r="A41" s="19">
        <v>2021</v>
      </c>
      <c r="B41" s="19">
        <v>1</v>
      </c>
      <c r="C41" s="19">
        <v>357120</v>
      </c>
      <c r="D41" s="7">
        <v>9288380162</v>
      </c>
      <c r="E41" s="8">
        <v>2317700000</v>
      </c>
      <c r="F41" s="7">
        <v>0</v>
      </c>
      <c r="G41" s="7">
        <v>0</v>
      </c>
      <c r="J41" s="8">
        <v>11606000000</v>
      </c>
      <c r="K41" s="12">
        <v>166</v>
      </c>
    </row>
    <row r="42" spans="1:12" x14ac:dyDescent="0.2">
      <c r="A42" s="19">
        <v>2020</v>
      </c>
      <c r="B42" s="19">
        <v>2</v>
      </c>
      <c r="C42" s="19">
        <v>357120</v>
      </c>
      <c r="D42" s="7">
        <v>3671374899.6470585</v>
      </c>
      <c r="E42" s="8">
        <v>1030521697.4789915</v>
      </c>
      <c r="F42" s="7">
        <v>0</v>
      </c>
      <c r="G42" s="7">
        <v>0</v>
      </c>
      <c r="J42" s="8">
        <v>4702126050.4201679</v>
      </c>
      <c r="K42" s="12">
        <v>67.151260504201673</v>
      </c>
      <c r="L42" s="22" t="s">
        <v>97</v>
      </c>
    </row>
    <row r="43" spans="1:12" x14ac:dyDescent="0.2">
      <c r="A43" s="19">
        <v>2025</v>
      </c>
      <c r="B43" s="19">
        <v>1</v>
      </c>
      <c r="C43" s="19">
        <v>365550</v>
      </c>
      <c r="D43" s="7">
        <v>9778739593</v>
      </c>
      <c r="E43" s="8">
        <v>16173718000</v>
      </c>
      <c r="F43" s="7">
        <v>0</v>
      </c>
      <c r="G43" s="7">
        <v>0</v>
      </c>
      <c r="J43" s="8">
        <v>29193000000</v>
      </c>
      <c r="K43" s="12">
        <v>137</v>
      </c>
    </row>
    <row r="44" spans="1:12" x14ac:dyDescent="0.2">
      <c r="A44" s="19">
        <v>2024</v>
      </c>
      <c r="B44" s="19">
        <v>2</v>
      </c>
      <c r="C44" s="19">
        <v>365550</v>
      </c>
      <c r="D44" s="7">
        <v>3600540919</v>
      </c>
      <c r="E44" s="8">
        <v>15791392000</v>
      </c>
      <c r="F44" s="7">
        <v>0</v>
      </c>
      <c r="G44" s="7">
        <v>0</v>
      </c>
      <c r="J44" s="8">
        <v>29193000000</v>
      </c>
      <c r="K44" s="12">
        <v>137</v>
      </c>
    </row>
    <row r="45" spans="1:12" x14ac:dyDescent="0.2">
      <c r="A45" s="19">
        <v>2024</v>
      </c>
      <c r="B45" s="19">
        <v>1</v>
      </c>
      <c r="C45" s="19">
        <v>365550</v>
      </c>
      <c r="D45" s="7">
        <v>22534060750</v>
      </c>
      <c r="E45" s="8">
        <v>15595427000</v>
      </c>
      <c r="F45" s="7">
        <v>0</v>
      </c>
      <c r="G45" s="7">
        <v>0</v>
      </c>
      <c r="J45" s="8">
        <v>29193000000</v>
      </c>
      <c r="K45" s="12">
        <v>137</v>
      </c>
    </row>
    <row r="46" spans="1:12" x14ac:dyDescent="0.2">
      <c r="A46" s="19">
        <v>2023</v>
      </c>
      <c r="B46" s="19">
        <v>2</v>
      </c>
      <c r="C46" s="19">
        <v>365550</v>
      </c>
      <c r="D46" s="7">
        <v>11852472755</v>
      </c>
      <c r="E46" s="8">
        <v>14838283000</v>
      </c>
      <c r="F46" s="7">
        <v>0</v>
      </c>
      <c r="G46" s="7">
        <v>0</v>
      </c>
      <c r="J46" s="8">
        <v>29193000000</v>
      </c>
      <c r="K46" s="11">
        <v>137</v>
      </c>
      <c r="L46" s="5"/>
    </row>
    <row r="47" spans="1:12" x14ac:dyDescent="0.2">
      <c r="A47" s="19">
        <v>2023</v>
      </c>
      <c r="B47" s="19">
        <v>1</v>
      </c>
      <c r="C47" s="19">
        <v>365550</v>
      </c>
      <c r="D47" s="7">
        <v>28013768456</v>
      </c>
      <c r="E47" s="8">
        <v>13823988000</v>
      </c>
      <c r="F47" s="7">
        <v>0</v>
      </c>
      <c r="G47" s="7">
        <v>0</v>
      </c>
      <c r="J47" s="8">
        <v>28767000000</v>
      </c>
      <c r="K47" s="12">
        <v>135</v>
      </c>
    </row>
    <row r="48" spans="1:12" x14ac:dyDescent="0.2">
      <c r="A48" s="19">
        <v>2022</v>
      </c>
      <c r="B48" s="19">
        <v>2</v>
      </c>
      <c r="C48" s="19">
        <v>365550</v>
      </c>
      <c r="D48" s="7">
        <v>12762281756</v>
      </c>
      <c r="E48" s="8">
        <v>13767305000</v>
      </c>
      <c r="F48" s="7">
        <v>0</v>
      </c>
      <c r="G48" s="7">
        <v>0</v>
      </c>
      <c r="J48" s="8">
        <v>28980000000</v>
      </c>
      <c r="K48" s="11">
        <v>136</v>
      </c>
      <c r="L48" s="5"/>
    </row>
    <row r="49" spans="1:12" x14ac:dyDescent="0.2">
      <c r="A49" s="19">
        <v>2022</v>
      </c>
      <c r="B49" s="19">
        <v>1</v>
      </c>
      <c r="C49" s="19">
        <v>365550</v>
      </c>
      <c r="D49" s="7">
        <v>30175271482</v>
      </c>
      <c r="E49" s="8">
        <v>13066668000</v>
      </c>
      <c r="F49" s="7">
        <v>0</v>
      </c>
      <c r="G49" s="7">
        <v>0</v>
      </c>
      <c r="J49" s="8">
        <v>28554000000</v>
      </c>
      <c r="K49" s="12">
        <v>134</v>
      </c>
    </row>
    <row r="50" spans="1:12" x14ac:dyDescent="0.2">
      <c r="A50" s="19">
        <v>2021</v>
      </c>
      <c r="B50" s="19">
        <v>2</v>
      </c>
      <c r="C50" s="19">
        <v>365550</v>
      </c>
      <c r="D50" s="7">
        <v>9485403543</v>
      </c>
      <c r="E50" s="8">
        <v>7682730000</v>
      </c>
      <c r="F50" s="7">
        <v>0</v>
      </c>
      <c r="G50" s="7">
        <v>0</v>
      </c>
      <c r="J50" s="8">
        <v>19197000000</v>
      </c>
      <c r="K50" s="12">
        <v>134</v>
      </c>
    </row>
    <row r="51" spans="1:12" x14ac:dyDescent="0.2">
      <c r="A51" s="19">
        <v>2021</v>
      </c>
      <c r="B51" s="19">
        <v>1</v>
      </c>
      <c r="C51" s="19">
        <v>365550</v>
      </c>
      <c r="D51" s="7">
        <v>5409251855</v>
      </c>
      <c r="E51" s="8">
        <v>5906579000</v>
      </c>
      <c r="F51" s="7">
        <v>0</v>
      </c>
      <c r="G51" s="7">
        <v>0</v>
      </c>
      <c r="J51" s="8">
        <v>19264000000</v>
      </c>
      <c r="K51" s="7">
        <v>134</v>
      </c>
    </row>
    <row r="52" spans="1:12" x14ac:dyDescent="0.2">
      <c r="A52" s="19">
        <v>2020</v>
      </c>
      <c r="B52" s="19">
        <v>2</v>
      </c>
      <c r="C52" s="19">
        <v>365550</v>
      </c>
      <c r="D52" s="7">
        <v>-1369070381</v>
      </c>
      <c r="E52" s="8">
        <v>0</v>
      </c>
      <c r="F52" s="7">
        <v>0</v>
      </c>
      <c r="G52" s="7">
        <v>0</v>
      </c>
      <c r="J52" s="8">
        <v>0</v>
      </c>
      <c r="K52" s="7">
        <v>0</v>
      </c>
    </row>
    <row r="53" spans="1:12" x14ac:dyDescent="0.2">
      <c r="A53" s="19">
        <v>2020</v>
      </c>
      <c r="B53" s="19">
        <v>1</v>
      </c>
      <c r="C53" s="19">
        <v>365550</v>
      </c>
      <c r="D53" s="7">
        <v>-125133733</v>
      </c>
      <c r="E53" s="8">
        <v>0</v>
      </c>
      <c r="F53" s="7">
        <v>0</v>
      </c>
      <c r="G53" s="7">
        <v>0</v>
      </c>
      <c r="J53" s="8">
        <v>0</v>
      </c>
      <c r="K53" s="7">
        <v>0</v>
      </c>
      <c r="L53" s="20" t="s">
        <v>98</v>
      </c>
    </row>
    <row r="54" spans="1:12" x14ac:dyDescent="0.2">
      <c r="A54" s="19">
        <v>2025</v>
      </c>
      <c r="B54" s="19">
        <v>1</v>
      </c>
      <c r="C54" s="19">
        <v>350520</v>
      </c>
      <c r="D54" s="7">
        <v>3472731645</v>
      </c>
      <c r="E54" s="8">
        <v>0</v>
      </c>
      <c r="F54" s="7">
        <v>0</v>
      </c>
      <c r="G54" s="7">
        <v>0</v>
      </c>
      <c r="J54" s="8">
        <v>5530000000</v>
      </c>
      <c r="K54" s="8">
        <v>150</v>
      </c>
      <c r="L54" s="23" t="s">
        <v>101</v>
      </c>
    </row>
    <row r="55" spans="1:12" x14ac:dyDescent="0.2">
      <c r="A55" s="19">
        <v>2024</v>
      </c>
      <c r="B55" s="19">
        <v>2</v>
      </c>
      <c r="C55" s="19">
        <v>350520</v>
      </c>
      <c r="D55" s="7">
        <v>9285179114</v>
      </c>
      <c r="E55" s="8">
        <v>0</v>
      </c>
      <c r="F55" s="7">
        <v>0</v>
      </c>
      <c r="G55" s="7">
        <v>0</v>
      </c>
      <c r="J55" s="8">
        <v>5530000000</v>
      </c>
      <c r="K55" s="8">
        <v>150</v>
      </c>
    </row>
    <row r="56" spans="1:12" x14ac:dyDescent="0.2">
      <c r="A56" s="19">
        <v>2024</v>
      </c>
      <c r="B56" s="19">
        <v>1</v>
      </c>
      <c r="C56" s="19">
        <v>350520</v>
      </c>
      <c r="D56" s="7">
        <v>33710015120</v>
      </c>
      <c r="E56" s="7">
        <v>0</v>
      </c>
      <c r="F56" s="7">
        <v>0</v>
      </c>
      <c r="G56" s="7">
        <v>0</v>
      </c>
      <c r="J56" s="8">
        <v>4254000000</v>
      </c>
      <c r="K56" s="7">
        <v>150</v>
      </c>
    </row>
    <row r="57" spans="1:12" x14ac:dyDescent="0.2">
      <c r="A57" s="19">
        <v>2023</v>
      </c>
      <c r="B57" s="19">
        <v>2</v>
      </c>
      <c r="C57" s="19">
        <v>350520</v>
      </c>
      <c r="D57" s="7">
        <v>7630769905</v>
      </c>
      <c r="E57" s="7">
        <v>0</v>
      </c>
      <c r="F57" s="7">
        <v>0</v>
      </c>
      <c r="G57" s="7">
        <v>0</v>
      </c>
      <c r="J57" s="7">
        <v>3772000000</v>
      </c>
      <c r="K57" s="7">
        <v>133</v>
      </c>
    </row>
    <row r="58" spans="1:12" x14ac:dyDescent="0.2">
      <c r="A58" s="19">
        <v>2023</v>
      </c>
      <c r="B58" s="19">
        <v>1</v>
      </c>
      <c r="C58" s="19">
        <v>350520</v>
      </c>
      <c r="D58" s="7">
        <v>7817972365</v>
      </c>
      <c r="E58" s="7">
        <v>0</v>
      </c>
      <c r="F58" s="7">
        <v>0</v>
      </c>
      <c r="G58" s="7">
        <v>0</v>
      </c>
      <c r="J58" s="7">
        <v>3772000000</v>
      </c>
      <c r="K58" s="7">
        <v>133</v>
      </c>
    </row>
    <row r="59" spans="1:12" x14ac:dyDescent="0.2">
      <c r="A59" s="19">
        <v>2022</v>
      </c>
      <c r="B59" s="19">
        <v>2</v>
      </c>
      <c r="C59" s="19">
        <v>350520</v>
      </c>
      <c r="D59" s="7">
        <v>62734177923</v>
      </c>
      <c r="E59" s="7">
        <v>0</v>
      </c>
      <c r="F59" s="7">
        <v>0</v>
      </c>
      <c r="G59" s="7">
        <v>0</v>
      </c>
      <c r="J59" s="7">
        <v>3772000000</v>
      </c>
      <c r="K59" s="7">
        <v>133</v>
      </c>
    </row>
    <row r="60" spans="1:12" x14ac:dyDescent="0.2">
      <c r="A60" s="19">
        <v>2022</v>
      </c>
      <c r="B60" s="19">
        <v>1</v>
      </c>
      <c r="C60" s="19">
        <v>350520</v>
      </c>
      <c r="D60" s="7">
        <v>24201936372</v>
      </c>
      <c r="E60" s="7">
        <v>0</v>
      </c>
      <c r="F60" s="7">
        <v>0</v>
      </c>
      <c r="G60" s="7">
        <v>0</v>
      </c>
      <c r="J60" s="7">
        <v>2740000000</v>
      </c>
      <c r="K60" s="7">
        <v>133</v>
      </c>
    </row>
    <row r="61" spans="1:12" x14ac:dyDescent="0.2">
      <c r="A61" s="19">
        <v>2021</v>
      </c>
      <c r="B61" s="19">
        <v>2</v>
      </c>
      <c r="C61" s="19">
        <v>350520</v>
      </c>
      <c r="D61" s="7">
        <v>8103280124</v>
      </c>
      <c r="E61" s="7">
        <v>0</v>
      </c>
      <c r="F61" s="7">
        <v>0</v>
      </c>
      <c r="G61" s="7">
        <v>0</v>
      </c>
      <c r="J61" s="7">
        <v>2719000000</v>
      </c>
      <c r="K61" s="7">
        <v>132</v>
      </c>
    </row>
    <row r="62" spans="1:12" x14ac:dyDescent="0.2">
      <c r="A62" s="19">
        <v>2021</v>
      </c>
      <c r="B62" s="19">
        <v>1</v>
      </c>
      <c r="C62" s="19">
        <v>350520</v>
      </c>
      <c r="D62" s="7">
        <v>2567022713</v>
      </c>
      <c r="E62" s="7">
        <v>0</v>
      </c>
      <c r="F62" s="7">
        <v>0</v>
      </c>
      <c r="G62" s="7">
        <v>0</v>
      </c>
      <c r="J62" s="7">
        <v>2678000000</v>
      </c>
      <c r="K62" s="7">
        <v>130</v>
      </c>
    </row>
    <row r="63" spans="1:12" x14ac:dyDescent="0.2">
      <c r="A63" s="19">
        <v>2020</v>
      </c>
      <c r="B63" s="19">
        <v>2</v>
      </c>
      <c r="C63" s="19">
        <v>350520</v>
      </c>
      <c r="D63" s="7">
        <v>7297243827</v>
      </c>
      <c r="E63" s="7">
        <v>0</v>
      </c>
      <c r="F63" s="7">
        <v>0</v>
      </c>
      <c r="G63" s="7">
        <v>0</v>
      </c>
      <c r="J63" s="7">
        <v>2678000000</v>
      </c>
      <c r="K63" s="7">
        <v>130</v>
      </c>
    </row>
    <row r="64" spans="1:12" x14ac:dyDescent="0.2">
      <c r="A64" s="19">
        <v>2020</v>
      </c>
      <c r="B64" s="19">
        <v>1</v>
      </c>
      <c r="C64" s="19">
        <v>350520</v>
      </c>
      <c r="D64" s="7">
        <v>-29277097</v>
      </c>
      <c r="E64" s="7">
        <v>0</v>
      </c>
      <c r="F64" s="7">
        <v>0</v>
      </c>
      <c r="G64" s="7">
        <v>0</v>
      </c>
      <c r="J64" s="7">
        <v>0</v>
      </c>
      <c r="K64" s="7">
        <v>0</v>
      </c>
      <c r="L64" s="20" t="s">
        <v>102</v>
      </c>
    </row>
    <row r="65" spans="1:11" x14ac:dyDescent="0.2">
      <c r="A65" s="19">
        <v>2025</v>
      </c>
      <c r="B65" s="19">
        <v>1</v>
      </c>
      <c r="C65" s="19">
        <v>334890</v>
      </c>
      <c r="D65" s="7">
        <v>-2064498917</v>
      </c>
      <c r="E65" s="8">
        <v>0</v>
      </c>
      <c r="F65" s="7">
        <v>0</v>
      </c>
      <c r="G65" s="7">
        <v>0</v>
      </c>
      <c r="J65" s="7">
        <v>8891000000</v>
      </c>
      <c r="K65" s="7">
        <v>173</v>
      </c>
    </row>
    <row r="66" spans="1:11" x14ac:dyDescent="0.2">
      <c r="A66" s="19">
        <v>2024</v>
      </c>
      <c r="B66" s="19">
        <v>2</v>
      </c>
      <c r="C66" s="19">
        <v>334890</v>
      </c>
      <c r="D66" s="7">
        <v>-2312328925</v>
      </c>
      <c r="E66" s="7">
        <v>0</v>
      </c>
      <c r="F66" s="7">
        <v>0</v>
      </c>
      <c r="G66" s="7">
        <v>0</v>
      </c>
      <c r="J66" s="7">
        <v>31480000000</v>
      </c>
      <c r="K66" s="7">
        <v>612</v>
      </c>
    </row>
    <row r="67" spans="1:11" x14ac:dyDescent="0.2">
      <c r="A67" s="19">
        <v>2024</v>
      </c>
      <c r="B67" s="19">
        <v>1</v>
      </c>
      <c r="C67" s="19">
        <v>334890</v>
      </c>
      <c r="D67" s="7">
        <v>29482591484</v>
      </c>
      <c r="E67" s="7">
        <v>0</v>
      </c>
      <c r="F67" s="7">
        <v>0</v>
      </c>
      <c r="G67" s="7">
        <v>0</v>
      </c>
      <c r="J67" s="7">
        <v>10839000000</v>
      </c>
      <c r="K67" s="7">
        <v>211</v>
      </c>
    </row>
    <row r="68" spans="1:11" x14ac:dyDescent="0.2">
      <c r="A68" s="19">
        <v>2023</v>
      </c>
      <c r="B68" s="19">
        <v>2</v>
      </c>
      <c r="C68" s="19">
        <v>334890</v>
      </c>
      <c r="D68" s="7">
        <v>34239363620</v>
      </c>
      <c r="E68" s="8">
        <v>0</v>
      </c>
      <c r="F68" s="7">
        <v>0</v>
      </c>
      <c r="G68" s="7">
        <v>0</v>
      </c>
      <c r="J68" s="7">
        <v>10339000000</v>
      </c>
      <c r="K68" s="7">
        <v>201</v>
      </c>
    </row>
    <row r="69" spans="1:11" x14ac:dyDescent="0.2">
      <c r="A69" s="19">
        <v>2023</v>
      </c>
      <c r="B69" s="19">
        <v>1</v>
      </c>
      <c r="C69" s="19">
        <v>334890</v>
      </c>
      <c r="D69" s="7">
        <v>31673918022</v>
      </c>
      <c r="E69" s="8">
        <v>0</v>
      </c>
      <c r="F69" s="7">
        <v>0</v>
      </c>
      <c r="G69" s="7">
        <v>0</v>
      </c>
      <c r="J69" s="7">
        <v>7823000000</v>
      </c>
      <c r="K69" s="7">
        <v>213</v>
      </c>
    </row>
    <row r="70" spans="1:11" x14ac:dyDescent="0.2">
      <c r="A70" s="19">
        <v>2022</v>
      </c>
      <c r="B70" s="19">
        <v>2</v>
      </c>
      <c r="C70" s="19">
        <v>334890</v>
      </c>
      <c r="D70" s="7">
        <v>45007641766</v>
      </c>
      <c r="E70" s="8">
        <v>0</v>
      </c>
      <c r="F70" s="7">
        <v>0</v>
      </c>
      <c r="G70" s="7">
        <v>0</v>
      </c>
      <c r="J70" s="7">
        <v>5585000000</v>
      </c>
      <c r="K70" s="7">
        <v>152</v>
      </c>
    </row>
    <row r="71" spans="1:11" x14ac:dyDescent="0.2">
      <c r="A71" s="19">
        <v>2022</v>
      </c>
      <c r="B71" s="19">
        <v>1</v>
      </c>
      <c r="C71" s="19">
        <v>334890</v>
      </c>
      <c r="D71" s="7">
        <v>4971321940</v>
      </c>
      <c r="E71" s="8">
        <v>0</v>
      </c>
      <c r="F71" s="7">
        <v>0</v>
      </c>
      <c r="G71" s="7">
        <v>0</v>
      </c>
      <c r="J71" s="7">
        <v>4693000000</v>
      </c>
      <c r="K71" s="7">
        <v>152</v>
      </c>
    </row>
    <row r="72" spans="1:11" x14ac:dyDescent="0.2">
      <c r="A72" s="19">
        <v>2021</v>
      </c>
      <c r="B72" s="19">
        <v>2</v>
      </c>
      <c r="C72" s="19">
        <v>334890</v>
      </c>
      <c r="D72" s="7">
        <v>22252694832</v>
      </c>
      <c r="E72" s="7">
        <v>0</v>
      </c>
      <c r="F72" s="7">
        <v>0</v>
      </c>
      <c r="G72" s="7">
        <v>0</v>
      </c>
      <c r="J72" s="7">
        <v>3648000000</v>
      </c>
      <c r="K72" s="7">
        <v>152</v>
      </c>
    </row>
    <row r="73" spans="1:11" x14ac:dyDescent="0.2">
      <c r="A73" s="19">
        <v>2021</v>
      </c>
      <c r="B73" s="19">
        <v>1</v>
      </c>
      <c r="C73" s="19">
        <v>334890</v>
      </c>
      <c r="D73" s="7">
        <v>2744775190</v>
      </c>
      <c r="E73" s="7">
        <v>0</v>
      </c>
      <c r="F73" s="7">
        <v>0</v>
      </c>
      <c r="G73" s="7">
        <v>0</v>
      </c>
      <c r="J73" s="7">
        <v>3624000000</v>
      </c>
      <c r="K73" s="7">
        <v>151</v>
      </c>
    </row>
    <row r="74" spans="1:11" x14ac:dyDescent="0.2">
      <c r="A74" s="19">
        <v>2020</v>
      </c>
      <c r="B74" s="19">
        <v>2</v>
      </c>
      <c r="C74" s="19">
        <v>334890</v>
      </c>
      <c r="D74" s="7">
        <v>22360696295.344265</v>
      </c>
      <c r="E74" s="7">
        <v>0</v>
      </c>
      <c r="F74" s="7">
        <v>0</v>
      </c>
      <c r="G74" s="7">
        <v>0</v>
      </c>
      <c r="J74" s="7">
        <v>872944262.29508209</v>
      </c>
      <c r="K74" s="7">
        <v>36.196721311475414</v>
      </c>
    </row>
    <row r="75" spans="1:11" x14ac:dyDescent="0.2">
      <c r="A75" s="19">
        <v>2020</v>
      </c>
      <c r="B75" s="19">
        <v>1</v>
      </c>
      <c r="C75" s="19">
        <v>334890</v>
      </c>
      <c r="D75" s="15">
        <v>14705529734.831661</v>
      </c>
      <c r="E75" s="7">
        <v>0</v>
      </c>
      <c r="F75" s="7">
        <v>0</v>
      </c>
      <c r="G75" s="7">
        <v>0</v>
      </c>
      <c r="J75" s="7">
        <v>575185367.33454752</v>
      </c>
      <c r="K75" s="7">
        <v>27.192167577413475</v>
      </c>
    </row>
    <row r="76" spans="1:11" x14ac:dyDescent="0.2">
      <c r="A76" s="19">
        <v>2019</v>
      </c>
      <c r="B76" s="19">
        <v>2</v>
      </c>
      <c r="C76" s="19">
        <v>334890</v>
      </c>
      <c r="D76" s="7">
        <v>2839663.4814814818</v>
      </c>
      <c r="E76" s="7">
        <v>0</v>
      </c>
      <c r="F76" s="7">
        <v>0</v>
      </c>
      <c r="G76" s="7">
        <v>0</v>
      </c>
      <c r="J76" s="7">
        <v>3407407.4074074081</v>
      </c>
      <c r="K76" s="7">
        <v>10.222222222222223</v>
      </c>
    </row>
    <row r="77" spans="1:11" x14ac:dyDescent="0.2">
      <c r="A77" s="19">
        <v>2025</v>
      </c>
      <c r="B77" s="19">
        <v>1</v>
      </c>
      <c r="C77" s="19">
        <v>357250</v>
      </c>
      <c r="D77" s="7">
        <v>1738185146</v>
      </c>
      <c r="E77" s="12">
        <v>1685565000</v>
      </c>
      <c r="F77" s="7">
        <v>0</v>
      </c>
      <c r="G77" s="7">
        <v>0</v>
      </c>
      <c r="J77" s="7">
        <v>3424000000</v>
      </c>
      <c r="K77" s="7">
        <v>137</v>
      </c>
    </row>
    <row r="78" spans="1:11" x14ac:dyDescent="0.2">
      <c r="A78" s="19">
        <v>2024</v>
      </c>
      <c r="B78" s="19">
        <v>2</v>
      </c>
      <c r="C78" s="19">
        <v>357250</v>
      </c>
      <c r="D78" s="7">
        <v>1534555756</v>
      </c>
      <c r="E78" s="12">
        <v>1694825000</v>
      </c>
      <c r="F78" s="7">
        <v>0</v>
      </c>
      <c r="G78" s="7">
        <v>0</v>
      </c>
      <c r="J78" s="7">
        <v>3299000000</v>
      </c>
      <c r="K78" s="7">
        <v>132</v>
      </c>
    </row>
    <row r="79" spans="1:11" x14ac:dyDescent="0.2">
      <c r="A79" s="19">
        <v>2024</v>
      </c>
      <c r="B79" s="19">
        <v>1</v>
      </c>
      <c r="C79" s="19">
        <v>357250</v>
      </c>
      <c r="D79" s="7">
        <v>1833329662</v>
      </c>
      <c r="E79" s="12">
        <v>1694827000</v>
      </c>
      <c r="F79" s="7">
        <v>0</v>
      </c>
      <c r="G79" s="7">
        <v>0</v>
      </c>
      <c r="J79" s="7">
        <v>3799000000</v>
      </c>
      <c r="K79" s="7">
        <v>152</v>
      </c>
    </row>
    <row r="80" spans="1:11" x14ac:dyDescent="0.2">
      <c r="A80" s="19">
        <v>2023</v>
      </c>
      <c r="B80" s="19">
        <v>2</v>
      </c>
      <c r="C80" s="19">
        <v>357250</v>
      </c>
      <c r="D80" s="7">
        <v>5581111973</v>
      </c>
      <c r="E80" s="12">
        <v>1694826000</v>
      </c>
      <c r="F80" s="7">
        <v>0</v>
      </c>
      <c r="G80" s="7">
        <v>0</v>
      </c>
      <c r="J80" s="7">
        <v>2733000000</v>
      </c>
      <c r="K80" s="7">
        <v>136</v>
      </c>
    </row>
    <row r="81" spans="1:12" x14ac:dyDescent="0.2">
      <c r="A81" s="19">
        <v>2023</v>
      </c>
      <c r="B81" s="19">
        <v>1</v>
      </c>
      <c r="C81" s="19">
        <v>357250</v>
      </c>
      <c r="D81" s="7">
        <v>1422403966</v>
      </c>
      <c r="E81" s="12">
        <v>1685565000</v>
      </c>
      <c r="F81" s="7">
        <v>0</v>
      </c>
      <c r="G81" s="7">
        <v>0</v>
      </c>
      <c r="J81" s="7">
        <v>3095000000</v>
      </c>
      <c r="K81" s="7">
        <v>154</v>
      </c>
    </row>
    <row r="82" spans="1:12" x14ac:dyDescent="0.2">
      <c r="A82" s="19">
        <v>2022</v>
      </c>
      <c r="B82" s="19">
        <v>2</v>
      </c>
      <c r="C82" s="19">
        <v>357250</v>
      </c>
      <c r="D82" s="7">
        <v>633285547</v>
      </c>
      <c r="E82" s="12">
        <v>1694826000</v>
      </c>
      <c r="F82" s="7">
        <v>0</v>
      </c>
      <c r="G82" s="7">
        <v>0</v>
      </c>
      <c r="J82" s="7">
        <v>2713000000</v>
      </c>
      <c r="K82" s="7">
        <v>135</v>
      </c>
    </row>
    <row r="83" spans="1:12" x14ac:dyDescent="0.2">
      <c r="A83" s="19">
        <v>2022</v>
      </c>
      <c r="B83" s="19">
        <v>1</v>
      </c>
      <c r="C83" s="19">
        <v>357250</v>
      </c>
      <c r="D83" s="7">
        <v>1318817047</v>
      </c>
      <c r="E83" s="12">
        <v>1685565000</v>
      </c>
      <c r="F83" s="7">
        <v>0</v>
      </c>
      <c r="G83" s="7">
        <v>0</v>
      </c>
      <c r="J83" s="7">
        <v>3015000000</v>
      </c>
      <c r="K83" s="7">
        <v>150</v>
      </c>
    </row>
    <row r="84" spans="1:12" x14ac:dyDescent="0.2">
      <c r="A84" s="19">
        <v>2021</v>
      </c>
      <c r="B84" s="19">
        <v>2</v>
      </c>
      <c r="C84" s="19">
        <v>357250</v>
      </c>
      <c r="D84" s="7">
        <v>583611374</v>
      </c>
      <c r="E84" s="12">
        <v>1694825000</v>
      </c>
      <c r="F84" s="7">
        <v>0</v>
      </c>
      <c r="G84" s="7">
        <v>0</v>
      </c>
      <c r="J84" s="7">
        <v>2432000000</v>
      </c>
      <c r="K84" s="7">
        <v>121</v>
      </c>
    </row>
    <row r="85" spans="1:12" x14ac:dyDescent="0.2">
      <c r="A85" s="19">
        <v>2021</v>
      </c>
      <c r="B85" s="19">
        <v>1</v>
      </c>
      <c r="C85" s="19">
        <v>357250</v>
      </c>
      <c r="D85" s="7">
        <v>1188458437</v>
      </c>
      <c r="E85" s="12">
        <v>1685565000</v>
      </c>
      <c r="F85" s="7">
        <v>0</v>
      </c>
      <c r="G85" s="7">
        <v>0</v>
      </c>
      <c r="J85" s="7">
        <v>3075000000</v>
      </c>
      <c r="K85" s="7">
        <v>153</v>
      </c>
    </row>
    <row r="86" spans="1:12" x14ac:dyDescent="0.2">
      <c r="A86" s="19">
        <v>2020</v>
      </c>
      <c r="B86" s="19">
        <v>2</v>
      </c>
      <c r="C86" s="19">
        <v>357250</v>
      </c>
      <c r="D86" s="7">
        <v>-399691865.03661972</v>
      </c>
      <c r="E86" s="12">
        <v>1203087878.8732393</v>
      </c>
      <c r="F86" s="7">
        <v>0</v>
      </c>
      <c r="G86" s="7">
        <v>0</v>
      </c>
      <c r="J86" s="7">
        <v>1367602816.9014084</v>
      </c>
      <c r="K86" s="7">
        <v>68.045070422535204</v>
      </c>
    </row>
    <row r="87" spans="1:12" x14ac:dyDescent="0.2">
      <c r="A87" s="19">
        <v>2023</v>
      </c>
      <c r="B87" s="19">
        <v>2</v>
      </c>
      <c r="C87" s="19">
        <v>481850</v>
      </c>
      <c r="D87" s="7">
        <v>-16239609727</v>
      </c>
      <c r="E87" s="8">
        <v>0</v>
      </c>
      <c r="F87" s="24"/>
      <c r="G87" s="24"/>
      <c r="H87" s="24"/>
      <c r="I87" s="24"/>
      <c r="J87" s="7">
        <v>201000000</v>
      </c>
      <c r="K87" s="7">
        <v>0</v>
      </c>
      <c r="L87" s="22" t="s">
        <v>106</v>
      </c>
    </row>
    <row r="88" spans="1:12" x14ac:dyDescent="0.2">
      <c r="A88" s="19">
        <v>2024</v>
      </c>
      <c r="B88" s="19">
        <v>1</v>
      </c>
      <c r="C88" s="19">
        <v>481850</v>
      </c>
      <c r="D88" s="7">
        <v>-13032813036</v>
      </c>
      <c r="E88" s="8">
        <v>0</v>
      </c>
      <c r="F88" s="24"/>
      <c r="G88" s="24"/>
      <c r="H88" s="24"/>
      <c r="I88" s="24"/>
      <c r="K88" s="7">
        <v>0</v>
      </c>
      <c r="L88" s="22" t="s">
        <v>106</v>
      </c>
    </row>
    <row r="89" spans="1:12" x14ac:dyDescent="0.2">
      <c r="A89" s="19">
        <v>2024</v>
      </c>
      <c r="B89" s="19">
        <v>2</v>
      </c>
      <c r="C89" s="19">
        <v>481850</v>
      </c>
      <c r="D89" s="7">
        <v>-10797131008</v>
      </c>
      <c r="E89" s="8">
        <v>0</v>
      </c>
      <c r="F89" s="24"/>
      <c r="G89" s="24"/>
      <c r="H89" s="24"/>
      <c r="I89" s="24"/>
      <c r="J89" s="7">
        <v>5478000000</v>
      </c>
      <c r="K89" s="7">
        <v>126</v>
      </c>
      <c r="L89" s="22" t="s">
        <v>106</v>
      </c>
    </row>
    <row r="90" spans="1:12" x14ac:dyDescent="0.2">
      <c r="A90" s="19">
        <v>2025</v>
      </c>
      <c r="B90" s="19">
        <v>1</v>
      </c>
      <c r="C90" s="19">
        <v>481850</v>
      </c>
      <c r="D90" s="7">
        <v>-4797457820</v>
      </c>
      <c r="E90" s="8">
        <v>0</v>
      </c>
      <c r="F90" s="24"/>
      <c r="G90" s="24"/>
      <c r="H90" s="24"/>
      <c r="I90" s="24"/>
      <c r="J90" s="7">
        <v>5522000000</v>
      </c>
      <c r="K90" s="24">
        <v>127</v>
      </c>
      <c r="L90" s="22" t="s">
        <v>106</v>
      </c>
    </row>
    <row r="91" spans="1:12" x14ac:dyDescent="0.2">
      <c r="A91" s="19">
        <v>2022</v>
      </c>
      <c r="B91" s="19">
        <v>1</v>
      </c>
      <c r="C91" s="19">
        <v>396690</v>
      </c>
      <c r="D91" s="7">
        <v>-9016712476</v>
      </c>
      <c r="E91" s="12">
        <v>3997626000</v>
      </c>
      <c r="F91" s="24"/>
      <c r="G91" s="24"/>
      <c r="H91" s="24"/>
      <c r="I91" s="24"/>
      <c r="J91" s="7">
        <v>2116000000</v>
      </c>
      <c r="K91" s="24">
        <v>72.8459</v>
      </c>
      <c r="L91" s="22" t="s">
        <v>107</v>
      </c>
    </row>
    <row r="92" spans="1:12" x14ac:dyDescent="0.2">
      <c r="A92" s="19">
        <v>2022</v>
      </c>
      <c r="B92" s="19">
        <v>2</v>
      </c>
      <c r="C92" s="19">
        <v>396690</v>
      </c>
      <c r="D92" s="7">
        <v>2025035024</v>
      </c>
      <c r="E92" s="12">
        <v>3004619000</v>
      </c>
      <c r="F92" s="24"/>
      <c r="G92" s="24"/>
      <c r="H92" s="24"/>
      <c r="I92" s="24"/>
      <c r="J92" s="7">
        <v>4308000000</v>
      </c>
      <c r="K92" s="24">
        <v>148</v>
      </c>
      <c r="L92" s="24"/>
    </row>
    <row r="93" spans="1:12" x14ac:dyDescent="0.2">
      <c r="A93" s="19">
        <v>2023</v>
      </c>
      <c r="B93" s="19">
        <v>1</v>
      </c>
      <c r="C93" s="19">
        <v>396690</v>
      </c>
      <c r="D93" s="7">
        <v>7621711500</v>
      </c>
      <c r="E93" s="12">
        <v>3049928000</v>
      </c>
      <c r="F93" s="24"/>
      <c r="G93" s="24"/>
      <c r="H93" s="24"/>
      <c r="I93" s="24"/>
      <c r="J93" s="7">
        <v>4478000000</v>
      </c>
      <c r="K93" s="24">
        <v>154</v>
      </c>
      <c r="L93" s="24"/>
    </row>
    <row r="94" spans="1:12" x14ac:dyDescent="0.2">
      <c r="A94" s="19">
        <v>2023</v>
      </c>
      <c r="B94" s="19">
        <v>2</v>
      </c>
      <c r="C94" s="19">
        <v>396690</v>
      </c>
      <c r="D94" s="7">
        <v>2459646411</v>
      </c>
      <c r="E94" s="12">
        <v>3036143000</v>
      </c>
      <c r="F94" s="24"/>
      <c r="G94" s="24"/>
      <c r="H94" s="24"/>
      <c r="I94" s="24"/>
      <c r="J94" s="7">
        <v>4359000000</v>
      </c>
      <c r="K94" s="24">
        <v>150</v>
      </c>
      <c r="L94" s="24"/>
    </row>
    <row r="95" spans="1:12" x14ac:dyDescent="0.2">
      <c r="A95" s="19">
        <v>2024</v>
      </c>
      <c r="B95" s="19">
        <v>1</v>
      </c>
      <c r="C95" s="19">
        <v>396690</v>
      </c>
      <c r="D95" s="7">
        <v>-1297195149</v>
      </c>
      <c r="E95" s="12">
        <v>3064105000</v>
      </c>
      <c r="F95" s="24"/>
      <c r="G95" s="24"/>
      <c r="H95" s="24"/>
      <c r="I95" s="24"/>
      <c r="J95" s="7">
        <v>4755000000</v>
      </c>
      <c r="K95" s="24">
        <v>120</v>
      </c>
      <c r="L95" s="24"/>
    </row>
    <row r="96" spans="1:12" x14ac:dyDescent="0.2">
      <c r="A96" s="19">
        <v>2024</v>
      </c>
      <c r="B96" s="19">
        <v>2</v>
      </c>
      <c r="C96" s="19">
        <v>396690</v>
      </c>
      <c r="D96" s="7">
        <v>-793221925</v>
      </c>
      <c r="E96" s="12">
        <v>3161014000</v>
      </c>
      <c r="F96" s="24"/>
      <c r="G96" s="24"/>
      <c r="H96" s="24"/>
      <c r="I96" s="24"/>
      <c r="J96" s="7">
        <v>5245000000</v>
      </c>
      <c r="K96" s="24">
        <v>132</v>
      </c>
      <c r="L96" s="24"/>
    </row>
    <row r="97" spans="1:12" x14ac:dyDescent="0.2">
      <c r="A97" s="19">
        <v>2025</v>
      </c>
      <c r="B97" s="19">
        <v>1</v>
      </c>
      <c r="C97" s="19">
        <v>396690</v>
      </c>
      <c r="D97" s="7">
        <v>1313515109</v>
      </c>
      <c r="E97" s="12">
        <v>3298349000</v>
      </c>
      <c r="F97" s="24"/>
      <c r="G97" s="24"/>
      <c r="H97" s="24"/>
      <c r="I97" s="24"/>
      <c r="J97" s="7">
        <v>5618000000</v>
      </c>
      <c r="K97" s="24">
        <v>142</v>
      </c>
      <c r="L97" s="24"/>
    </row>
    <row r="98" spans="1:12" x14ac:dyDescent="0.2">
      <c r="A98" s="19">
        <v>2020</v>
      </c>
      <c r="B98" s="19">
        <v>1</v>
      </c>
      <c r="C98" s="19">
        <v>348950</v>
      </c>
      <c r="D98" s="7">
        <v>-107947465</v>
      </c>
      <c r="E98" s="8">
        <v>0</v>
      </c>
      <c r="F98" s="24"/>
      <c r="G98" s="24"/>
      <c r="H98" s="24"/>
      <c r="I98" s="24"/>
      <c r="J98" s="7">
        <v>0</v>
      </c>
      <c r="K98" s="24"/>
      <c r="L98" s="22" t="s">
        <v>107</v>
      </c>
    </row>
    <row r="99" spans="1:12" x14ac:dyDescent="0.2">
      <c r="A99" s="19">
        <v>2020</v>
      </c>
      <c r="B99" s="19">
        <v>2</v>
      </c>
      <c r="C99" s="19">
        <v>348950</v>
      </c>
      <c r="D99" s="7">
        <v>15149976623</v>
      </c>
      <c r="E99" s="12">
        <v>11706128000</v>
      </c>
      <c r="F99" s="24"/>
      <c r="G99" s="24"/>
      <c r="H99" s="24"/>
      <c r="I99" s="24"/>
      <c r="J99" s="7">
        <v>25337000000</v>
      </c>
      <c r="K99" s="21">
        <v>153</v>
      </c>
      <c r="L99" s="24"/>
    </row>
    <row r="100" spans="1:12" x14ac:dyDescent="0.2">
      <c r="A100" s="19">
        <v>2021</v>
      </c>
      <c r="B100" s="19">
        <v>1</v>
      </c>
      <c r="C100" s="19">
        <v>348950</v>
      </c>
      <c r="D100" s="7">
        <v>18084166924</v>
      </c>
      <c r="E100" s="12">
        <v>11579388000</v>
      </c>
      <c r="F100" s="24"/>
      <c r="G100" s="24"/>
      <c r="H100" s="24"/>
      <c r="I100" s="24"/>
      <c r="J100" s="7">
        <v>31464000000</v>
      </c>
      <c r="K100" s="21">
        <v>190</v>
      </c>
      <c r="L100" s="24"/>
    </row>
    <row r="101" spans="1:12" x14ac:dyDescent="0.2">
      <c r="A101" s="19">
        <v>2021</v>
      </c>
      <c r="B101" s="19">
        <v>2</v>
      </c>
      <c r="C101" s="19">
        <v>348950</v>
      </c>
      <c r="D101" s="7">
        <v>17011995319</v>
      </c>
      <c r="E101" s="12">
        <v>11638889000</v>
      </c>
      <c r="F101" s="24"/>
      <c r="G101" s="24"/>
      <c r="H101" s="24"/>
      <c r="I101" s="24"/>
      <c r="J101" s="7">
        <v>31464000000</v>
      </c>
      <c r="K101" s="21">
        <v>190</v>
      </c>
      <c r="L101" s="24"/>
    </row>
    <row r="102" spans="1:12" x14ac:dyDescent="0.2">
      <c r="A102" s="19">
        <v>2022</v>
      </c>
      <c r="B102" s="19">
        <v>1</v>
      </c>
      <c r="C102" s="19">
        <v>348950</v>
      </c>
      <c r="D102" s="7">
        <v>13218402553</v>
      </c>
      <c r="E102" s="12">
        <v>11581882000</v>
      </c>
      <c r="F102" s="24"/>
      <c r="G102" s="24"/>
      <c r="H102" s="24"/>
      <c r="I102" s="24"/>
      <c r="J102" s="7">
        <v>31464000000</v>
      </c>
      <c r="K102" s="21">
        <v>190</v>
      </c>
      <c r="L102" s="24"/>
    </row>
    <row r="103" spans="1:12" x14ac:dyDescent="0.2">
      <c r="A103" s="19">
        <v>2022</v>
      </c>
      <c r="B103" s="19">
        <v>2</v>
      </c>
      <c r="C103" s="19">
        <v>348950</v>
      </c>
      <c r="D103" s="7">
        <v>17624948230</v>
      </c>
      <c r="E103" s="12">
        <v>11758750000</v>
      </c>
      <c r="F103" s="24"/>
      <c r="G103" s="24"/>
      <c r="H103" s="24"/>
      <c r="I103" s="24"/>
      <c r="J103" s="7">
        <v>37501000000</v>
      </c>
      <c r="K103" s="21">
        <v>190</v>
      </c>
      <c r="L103" s="24"/>
    </row>
    <row r="104" spans="1:12" x14ac:dyDescent="0.2">
      <c r="A104" s="19">
        <v>2023</v>
      </c>
      <c r="B104" s="19">
        <v>1</v>
      </c>
      <c r="C104" s="19">
        <v>348950</v>
      </c>
      <c r="D104" s="7">
        <v>26728872485</v>
      </c>
      <c r="E104" s="12">
        <v>12036949000</v>
      </c>
      <c r="F104" s="24"/>
      <c r="G104" s="24"/>
      <c r="H104" s="24"/>
      <c r="I104" s="24"/>
      <c r="J104" s="7">
        <v>37501000000</v>
      </c>
      <c r="K104" s="21">
        <v>190</v>
      </c>
      <c r="L104" s="23"/>
    </row>
    <row r="105" spans="1:12" x14ac:dyDescent="0.2">
      <c r="A105" s="19">
        <v>2023</v>
      </c>
      <c r="B105" s="19">
        <v>2</v>
      </c>
      <c r="C105" s="19">
        <v>348950</v>
      </c>
      <c r="D105" s="7">
        <v>23205162441</v>
      </c>
      <c r="E105" s="12">
        <v>12250919000</v>
      </c>
      <c r="F105" s="24"/>
      <c r="G105" s="24"/>
      <c r="H105" s="24"/>
      <c r="I105" s="24"/>
      <c r="J105" s="7">
        <v>38488000000</v>
      </c>
      <c r="K105" s="21">
        <v>195</v>
      </c>
      <c r="L105" s="24"/>
    </row>
    <row r="106" spans="1:12" x14ac:dyDescent="0.2">
      <c r="A106" s="19">
        <v>2024</v>
      </c>
      <c r="B106" s="19">
        <v>1</v>
      </c>
      <c r="C106" s="19">
        <v>348950</v>
      </c>
      <c r="D106" s="7">
        <v>24232916587</v>
      </c>
      <c r="E106" s="12">
        <v>12548035000</v>
      </c>
      <c r="F106" s="24"/>
      <c r="G106" s="24"/>
      <c r="H106" s="24"/>
      <c r="I106" s="24"/>
      <c r="J106" s="7">
        <v>38488000000</v>
      </c>
      <c r="K106" s="21">
        <v>195</v>
      </c>
      <c r="L106" s="24"/>
    </row>
    <row r="107" spans="1:12" x14ac:dyDescent="0.2">
      <c r="A107" s="19">
        <v>2024</v>
      </c>
      <c r="B107" s="19">
        <v>2</v>
      </c>
      <c r="C107" s="19">
        <v>348950</v>
      </c>
      <c r="D107" s="7">
        <v>20664851580</v>
      </c>
      <c r="E107" s="12">
        <v>12813723304</v>
      </c>
      <c r="F107" s="24"/>
      <c r="G107" s="24"/>
      <c r="H107" s="24"/>
      <c r="I107" s="24"/>
      <c r="J107" s="7">
        <v>38488000000</v>
      </c>
      <c r="K107" s="21">
        <v>195</v>
      </c>
      <c r="L107" s="24"/>
    </row>
    <row r="108" spans="1:12" x14ac:dyDescent="0.2">
      <c r="A108" s="19">
        <v>2025</v>
      </c>
      <c r="B108" s="19">
        <v>1</v>
      </c>
      <c r="C108" s="19">
        <v>348950</v>
      </c>
      <c r="D108" s="7">
        <v>30735019561</v>
      </c>
      <c r="E108" s="8">
        <v>0</v>
      </c>
      <c r="F108" s="24"/>
      <c r="G108" s="24"/>
      <c r="H108" s="21">
        <v>85270640000</v>
      </c>
      <c r="I108" s="24"/>
      <c r="J108" s="7">
        <v>22698000000</v>
      </c>
      <c r="K108" s="21">
        <v>115</v>
      </c>
      <c r="L108" s="23" t="s">
        <v>108</v>
      </c>
    </row>
    <row r="109" spans="1:12" ht="11.4" x14ac:dyDescent="0.2">
      <c r="A109" s="19">
        <v>2022</v>
      </c>
      <c r="B109" s="19">
        <v>1</v>
      </c>
      <c r="C109" s="19">
        <v>357430</v>
      </c>
      <c r="D109" s="25">
        <v>812788175</v>
      </c>
      <c r="E109" s="25">
        <v>544916873</v>
      </c>
      <c r="F109" s="25"/>
      <c r="G109" s="24"/>
      <c r="H109" s="24"/>
      <c r="I109" s="24"/>
      <c r="J109" s="7">
        <v>2963000000</v>
      </c>
      <c r="K109" s="21">
        <v>111</v>
      </c>
      <c r="L109" s="24"/>
    </row>
    <row r="110" spans="1:12" x14ac:dyDescent="0.2">
      <c r="A110" s="19">
        <v>2022</v>
      </c>
      <c r="B110" s="19">
        <v>2</v>
      </c>
      <c r="C110" s="19">
        <v>357430</v>
      </c>
      <c r="D110" s="7">
        <v>683704995</v>
      </c>
      <c r="E110" s="12">
        <v>630346865</v>
      </c>
      <c r="F110" s="24"/>
      <c r="G110" s="24"/>
      <c r="H110" s="24"/>
      <c r="I110" s="24"/>
      <c r="J110" s="7">
        <v>4053000000</v>
      </c>
      <c r="K110" s="21">
        <v>152</v>
      </c>
      <c r="L110" s="23"/>
    </row>
    <row r="111" spans="1:12" x14ac:dyDescent="0.2">
      <c r="A111" s="19">
        <v>2023</v>
      </c>
      <c r="B111" s="19">
        <v>1</v>
      </c>
      <c r="C111" s="19">
        <v>357430</v>
      </c>
      <c r="D111" s="7">
        <f>-5544449529+25</f>
        <v>-5544449504</v>
      </c>
      <c r="E111" s="12">
        <v>657720738</v>
      </c>
      <c r="F111" s="24"/>
      <c r="G111" s="24"/>
      <c r="H111" s="24"/>
      <c r="I111" s="24"/>
      <c r="J111" s="7">
        <v>4067000000</v>
      </c>
      <c r="K111" s="21">
        <v>153</v>
      </c>
      <c r="L111" s="24"/>
    </row>
    <row r="112" spans="1:12" x14ac:dyDescent="0.2">
      <c r="A112" s="19">
        <v>2023</v>
      </c>
      <c r="B112" s="19">
        <v>2</v>
      </c>
      <c r="C112" s="19">
        <v>357430</v>
      </c>
      <c r="D112" s="7">
        <f>-11001031445+55</f>
        <v>-11001031390</v>
      </c>
      <c r="E112" s="12">
        <v>632482495</v>
      </c>
      <c r="F112" s="24"/>
      <c r="G112" s="24"/>
      <c r="H112" s="24"/>
      <c r="I112" s="24"/>
      <c r="J112" s="7">
        <v>2305000000</v>
      </c>
      <c r="K112" s="21">
        <v>86</v>
      </c>
      <c r="L112" s="24"/>
    </row>
    <row r="113" spans="1:12" x14ac:dyDescent="0.2">
      <c r="A113" s="19">
        <v>2024</v>
      </c>
      <c r="B113" s="19">
        <v>1</v>
      </c>
      <c r="C113" s="19">
        <v>357430</v>
      </c>
      <c r="D113" s="7">
        <v>1474073916</v>
      </c>
      <c r="E113" s="12">
        <v>658880833</v>
      </c>
      <c r="F113" s="24"/>
      <c r="G113" s="24"/>
      <c r="H113" s="24"/>
      <c r="I113" s="24"/>
      <c r="J113" s="7">
        <v>1173000000</v>
      </c>
      <c r="K113" s="21">
        <v>44</v>
      </c>
      <c r="L113" s="24"/>
    </row>
    <row r="114" spans="1:12" x14ac:dyDescent="0.2">
      <c r="A114" s="19">
        <v>2024</v>
      </c>
      <c r="B114" s="19">
        <v>2</v>
      </c>
      <c r="C114" s="19">
        <v>357430</v>
      </c>
      <c r="D114" s="7">
        <v>12218111178</v>
      </c>
      <c r="E114" s="12">
        <v>690072572</v>
      </c>
      <c r="F114" s="24"/>
      <c r="G114" s="24"/>
      <c r="H114" s="24"/>
      <c r="I114" s="24"/>
      <c r="J114" s="24">
        <v>1861000000</v>
      </c>
      <c r="K114" s="24">
        <v>61</v>
      </c>
      <c r="L114" s="24"/>
    </row>
    <row r="115" spans="1:12" x14ac:dyDescent="0.2">
      <c r="A115" s="19">
        <v>2025</v>
      </c>
      <c r="B115" s="19">
        <v>1</v>
      </c>
      <c r="C115" s="19">
        <v>357430</v>
      </c>
      <c r="D115" s="7">
        <v>654243679</v>
      </c>
      <c r="E115" s="26">
        <v>237484969</v>
      </c>
      <c r="F115" s="24"/>
      <c r="G115" s="24"/>
      <c r="H115" s="24"/>
      <c r="I115" s="24"/>
      <c r="J115" s="24"/>
      <c r="K115" s="24"/>
      <c r="L115" s="24"/>
    </row>
    <row r="116" spans="1:12" x14ac:dyDescent="0.2">
      <c r="A116" s="19">
        <v>2021</v>
      </c>
      <c r="B116" s="19">
        <v>1</v>
      </c>
      <c r="C116" s="19">
        <v>377190</v>
      </c>
      <c r="D116" s="7">
        <v>-2285455117</v>
      </c>
      <c r="E116" s="12">
        <v>3072925000</v>
      </c>
      <c r="F116" s="24"/>
      <c r="G116" s="24"/>
      <c r="H116" s="24"/>
      <c r="I116" s="24"/>
      <c r="J116" s="28">
        <v>903000000</v>
      </c>
      <c r="K116" s="24">
        <v>107</v>
      </c>
      <c r="L116" s="24"/>
    </row>
    <row r="117" spans="1:12" x14ac:dyDescent="0.2">
      <c r="A117" s="19">
        <v>2021</v>
      </c>
      <c r="B117" s="19">
        <v>2</v>
      </c>
      <c r="C117" s="19">
        <v>377190</v>
      </c>
      <c r="D117" s="7">
        <v>2498514116</v>
      </c>
      <c r="E117" s="7">
        <v>3535905000</v>
      </c>
      <c r="J117" s="7">
        <v>5261000000</v>
      </c>
      <c r="K117" s="7">
        <v>81</v>
      </c>
    </row>
    <row r="118" spans="1:12" x14ac:dyDescent="0.2">
      <c r="A118" s="19">
        <v>2022</v>
      </c>
      <c r="B118" s="19">
        <v>1</v>
      </c>
      <c r="C118" s="19">
        <v>377190</v>
      </c>
      <c r="D118" s="7">
        <v>3348268691</v>
      </c>
      <c r="E118" s="7">
        <v>3835664000</v>
      </c>
      <c r="J118" s="7">
        <v>9783000000</v>
      </c>
      <c r="K118" s="7">
        <v>151</v>
      </c>
    </row>
    <row r="119" spans="1:12" x14ac:dyDescent="0.2">
      <c r="A119" s="19">
        <v>2022</v>
      </c>
      <c r="B119" s="19">
        <v>2</v>
      </c>
      <c r="C119" s="19">
        <v>377190</v>
      </c>
      <c r="D119" s="7">
        <v>1508936676</v>
      </c>
      <c r="E119" s="7">
        <v>4344742000</v>
      </c>
      <c r="J119" s="7">
        <v>9660000000</v>
      </c>
      <c r="K119" s="7">
        <v>150</v>
      </c>
    </row>
    <row r="120" spans="1:12" x14ac:dyDescent="0.2">
      <c r="A120" s="19">
        <v>2023</v>
      </c>
      <c r="B120" s="19">
        <v>1</v>
      </c>
      <c r="C120" s="19">
        <v>377190</v>
      </c>
      <c r="D120" s="7">
        <v>7538286589</v>
      </c>
      <c r="E120" s="7">
        <v>4617592000</v>
      </c>
      <c r="J120" s="7">
        <v>9660000000</v>
      </c>
      <c r="K120" s="7">
        <v>150</v>
      </c>
    </row>
    <row r="121" spans="1:12" x14ac:dyDescent="0.2">
      <c r="A121" s="19">
        <v>2023</v>
      </c>
      <c r="B121" s="19">
        <v>2</v>
      </c>
      <c r="C121" s="19">
        <v>377190</v>
      </c>
      <c r="D121" s="27">
        <v>3138984861</v>
      </c>
      <c r="E121" s="7">
        <v>4624560000</v>
      </c>
      <c r="J121" s="7">
        <v>9080000000</v>
      </c>
      <c r="K121" s="7">
        <v>141</v>
      </c>
    </row>
    <row r="122" spans="1:12" x14ac:dyDescent="0.2">
      <c r="A122" s="19">
        <v>2024</v>
      </c>
      <c r="B122" s="19">
        <v>1</v>
      </c>
      <c r="C122" s="19">
        <v>377190</v>
      </c>
      <c r="D122" s="7">
        <v>3456470990</v>
      </c>
      <c r="E122" s="7">
        <v>4625784000</v>
      </c>
      <c r="J122" s="7">
        <v>8887000000</v>
      </c>
      <c r="K122" s="7">
        <v>138</v>
      </c>
    </row>
    <row r="123" spans="1:12" x14ac:dyDescent="0.2">
      <c r="A123" s="19">
        <v>2024</v>
      </c>
      <c r="B123" s="19">
        <v>2</v>
      </c>
      <c r="C123" s="19">
        <v>377190</v>
      </c>
      <c r="D123" s="7">
        <v>2814924624</v>
      </c>
      <c r="E123" s="7">
        <v>4627886000</v>
      </c>
      <c r="J123" s="7">
        <v>8952000000</v>
      </c>
      <c r="K123" s="7">
        <v>139</v>
      </c>
    </row>
    <row r="124" spans="1:12" x14ac:dyDescent="0.2">
      <c r="A124" s="19">
        <v>2025</v>
      </c>
      <c r="B124" s="19">
        <v>1</v>
      </c>
      <c r="C124" s="19">
        <v>377190</v>
      </c>
      <c r="D124" s="7">
        <v>4067206754</v>
      </c>
      <c r="E124" s="7">
        <v>4756698000</v>
      </c>
      <c r="J124" s="7">
        <v>11138000000</v>
      </c>
      <c r="K124" s="7">
        <v>126</v>
      </c>
    </row>
    <row r="125" spans="1:12" x14ac:dyDescent="0.2">
      <c r="A125" s="19">
        <v>2023</v>
      </c>
      <c r="B125" s="19">
        <v>1</v>
      </c>
      <c r="C125" s="19">
        <v>432320</v>
      </c>
      <c r="D125" s="7">
        <v>-8692097864</v>
      </c>
      <c r="E125" s="7">
        <v>8625600000</v>
      </c>
      <c r="J125" s="7">
        <v>16733000000</v>
      </c>
      <c r="K125" s="7">
        <v>165</v>
      </c>
    </row>
    <row r="126" spans="1:12" x14ac:dyDescent="0.2">
      <c r="A126" s="19">
        <v>2023</v>
      </c>
      <c r="B126" s="19">
        <v>2</v>
      </c>
      <c r="C126" s="19">
        <v>432320</v>
      </c>
      <c r="D126" s="7">
        <v>-55387974229</v>
      </c>
      <c r="E126" s="7">
        <v>7645308000</v>
      </c>
      <c r="J126" s="7">
        <v>19066000000</v>
      </c>
      <c r="K126" s="7">
        <v>188</v>
      </c>
    </row>
    <row r="127" spans="1:12" x14ac:dyDescent="0.2">
      <c r="A127" s="19">
        <v>2024</v>
      </c>
      <c r="B127" s="19">
        <v>1</v>
      </c>
      <c r="C127" s="19">
        <v>432320</v>
      </c>
      <c r="D127" s="7">
        <v>51055242103</v>
      </c>
      <c r="E127" s="7">
        <v>7374468000</v>
      </c>
      <c r="J127" s="7">
        <v>19066000000</v>
      </c>
      <c r="K127" s="7">
        <v>188</v>
      </c>
    </row>
    <row r="128" spans="1:12" x14ac:dyDescent="0.2">
      <c r="A128" s="19">
        <v>2024</v>
      </c>
      <c r="B128" s="19">
        <v>2</v>
      </c>
      <c r="C128" s="19">
        <v>432320</v>
      </c>
      <c r="D128" s="7">
        <v>-31791469834</v>
      </c>
      <c r="E128" s="7">
        <v>7955351000</v>
      </c>
      <c r="J128" s="7">
        <v>19066000000</v>
      </c>
      <c r="K128" s="7">
        <v>188</v>
      </c>
    </row>
    <row r="129" spans="1:11" x14ac:dyDescent="0.2">
      <c r="A129" s="19">
        <v>2025</v>
      </c>
      <c r="B129" s="19">
        <v>1</v>
      </c>
      <c r="C129" s="19">
        <v>432320</v>
      </c>
      <c r="D129" s="7">
        <v>18964573555</v>
      </c>
      <c r="E129" s="7">
        <v>7646938717</v>
      </c>
      <c r="J129" s="7">
        <v>18254000000</v>
      </c>
      <c r="K129" s="7">
        <v>180</v>
      </c>
    </row>
    <row r="130" spans="1:11" x14ac:dyDescent="0.2">
      <c r="A130" s="19">
        <v>2025</v>
      </c>
      <c r="B130" s="19">
        <v>2</v>
      </c>
      <c r="C130" s="19">
        <v>432320</v>
      </c>
      <c r="D130" s="7">
        <v>-99412462641</v>
      </c>
      <c r="E130" s="7">
        <v>8120629217</v>
      </c>
      <c r="J130" s="7">
        <v>17240000000</v>
      </c>
      <c r="K130" s="7">
        <v>170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8AF7-0686-466F-9C97-4F914B1584F4}">
  <dimension ref="A1:I27"/>
  <sheetViews>
    <sheetView topLeftCell="A11" zoomScale="81" workbookViewId="0">
      <selection activeCell="E16" sqref="E16"/>
    </sheetView>
  </sheetViews>
  <sheetFormatPr defaultRowHeight="17.399999999999999" x14ac:dyDescent="0.4"/>
  <cols>
    <col min="1" max="1" width="16.296875" customWidth="1"/>
    <col min="3" max="3" width="11.19921875" bestFit="1" customWidth="1"/>
    <col min="4" max="4" width="22.296875" bestFit="1" customWidth="1"/>
    <col min="5" max="5" width="22.296875" customWidth="1"/>
    <col min="6" max="6" width="18.59765625" bestFit="1" customWidth="1"/>
    <col min="7" max="7" width="12.8984375" bestFit="1" customWidth="1"/>
    <col min="8" max="8" width="20" customWidth="1"/>
    <col min="9" max="9" width="25.796875" customWidth="1"/>
  </cols>
  <sheetData>
    <row r="1" spans="1:5" x14ac:dyDescent="0.4">
      <c r="A1" t="s">
        <v>94</v>
      </c>
      <c r="B1">
        <f>DATE(2019,6,30)-DATE(2019,3,29)+1</f>
        <v>94</v>
      </c>
      <c r="C1">
        <f>DATE(2019,6,30)-DATE(2019,1,1)+1</f>
        <v>181</v>
      </c>
    </row>
    <row r="3" spans="1:5" x14ac:dyDescent="0.4">
      <c r="B3">
        <f>C1/B1</f>
        <v>1.925531914893617</v>
      </c>
      <c r="C3">
        <v>1518903733</v>
      </c>
      <c r="D3">
        <f>C3*B3</f>
        <v>2924697613.5425529</v>
      </c>
    </row>
    <row r="4" spans="1:5" x14ac:dyDescent="0.4">
      <c r="C4" s="8">
        <v>305989000</v>
      </c>
      <c r="D4" s="9">
        <f>C4*B3</f>
        <v>589191585.10638297</v>
      </c>
      <c r="E4" s="9"/>
    </row>
    <row r="5" spans="1:5" x14ac:dyDescent="0.4">
      <c r="C5" s="8">
        <v>1825000000</v>
      </c>
      <c r="D5" s="9">
        <f>C5*B3</f>
        <v>3514095744.680851</v>
      </c>
      <c r="E5" s="9"/>
    </row>
    <row r="6" spans="1:5" x14ac:dyDescent="0.4">
      <c r="A6" t="s">
        <v>96</v>
      </c>
      <c r="B6">
        <f>DATE(2020,11,30)-DATE(2019,12,10)+1</f>
        <v>357</v>
      </c>
      <c r="C6">
        <f>DATE(2020,11,30)-DATE(2020,6,1)+1</f>
        <v>183</v>
      </c>
    </row>
    <row r="7" spans="1:5" x14ac:dyDescent="0.4">
      <c r="B7">
        <f>C6/B6</f>
        <v>0.51260504201680668</v>
      </c>
      <c r="C7" s="10">
        <v>7162190378</v>
      </c>
      <c r="D7">
        <f>C7*B7</f>
        <v>3671374899.6470585</v>
      </c>
    </row>
    <row r="8" spans="1:5" x14ac:dyDescent="0.4">
      <c r="C8" s="10">
        <v>2010362000</v>
      </c>
      <c r="D8">
        <f>C8*B7</f>
        <v>1030521697.4789915</v>
      </c>
    </row>
    <row r="9" spans="1:5" x14ac:dyDescent="0.4">
      <c r="C9" s="10">
        <v>9173000000</v>
      </c>
      <c r="D9">
        <f>C9*B7</f>
        <v>4702126050.4201679</v>
      </c>
    </row>
    <row r="10" spans="1:5" x14ac:dyDescent="0.4">
      <c r="C10" s="10">
        <v>131</v>
      </c>
      <c r="D10">
        <f>C10*B7</f>
        <v>67.151260504201673</v>
      </c>
    </row>
    <row r="11" spans="1:5" x14ac:dyDescent="0.4">
      <c r="A11" t="s">
        <v>103</v>
      </c>
      <c r="B11">
        <f>DATE(2020,11,30)-DATE(2019,12,12)+1</f>
        <v>355</v>
      </c>
      <c r="C11">
        <f>DATE(2020,11,30)-DATE(2020,6,1)+1</f>
        <v>183</v>
      </c>
    </row>
    <row r="12" spans="1:5" x14ac:dyDescent="0.4">
      <c r="B12">
        <f>C11/B11</f>
        <v>0.51549295774647885</v>
      </c>
      <c r="C12" s="7">
        <v>-775358536</v>
      </c>
      <c r="D12" s="9">
        <f>C12*B12</f>
        <v>-399691865.03661972</v>
      </c>
      <c r="E12" s="9"/>
    </row>
    <row r="13" spans="1:5" x14ac:dyDescent="0.4">
      <c r="C13" s="10">
        <v>2333859000</v>
      </c>
      <c r="D13">
        <f>C13*B12</f>
        <v>1203087878.8732393</v>
      </c>
    </row>
    <row r="14" spans="1:5" x14ac:dyDescent="0.4">
      <c r="C14" s="7">
        <v>2653000000</v>
      </c>
      <c r="D14" s="9">
        <f>C14*B12</f>
        <v>1367602816.9014084</v>
      </c>
      <c r="E14" s="9"/>
    </row>
    <row r="15" spans="1:5" x14ac:dyDescent="0.4">
      <c r="C15" s="7">
        <v>132</v>
      </c>
      <c r="D15" s="9">
        <f>C15*B12</f>
        <v>68.045070422535204</v>
      </c>
      <c r="E15" s="9"/>
    </row>
    <row r="16" spans="1:5" x14ac:dyDescent="0.4">
      <c r="A16" t="s">
        <v>104</v>
      </c>
      <c r="B16">
        <f>DATE(2020,8,31)-DATE(2019,11,1)+1</f>
        <v>305</v>
      </c>
      <c r="C16">
        <f>DATE(2020,8,31)-DATE(2020,3,1)+1</f>
        <v>184</v>
      </c>
    </row>
    <row r="17" spans="1:9" x14ac:dyDescent="0.4">
      <c r="B17">
        <f>C16/B16</f>
        <v>0.60327868852459021</v>
      </c>
      <c r="C17" s="7">
        <v>37065284620</v>
      </c>
      <c r="D17" s="18">
        <f>C17*B17</f>
        <v>22360696295.344265</v>
      </c>
      <c r="E17" s="9">
        <f>1-B17</f>
        <v>0.39672131147540979</v>
      </c>
      <c r="F17" s="16">
        <f>SUM(C17, -D17)</f>
        <v>14704588324.655735</v>
      </c>
      <c r="H17" s="13"/>
      <c r="I17" s="14"/>
    </row>
    <row r="18" spans="1:9" x14ac:dyDescent="0.4">
      <c r="C18" s="7">
        <v>1447000000</v>
      </c>
      <c r="D18" s="18">
        <f>C18*B17</f>
        <v>872944262.29508209</v>
      </c>
      <c r="E18" s="9"/>
      <c r="F18" s="16">
        <f>SUM(C18, -D18)</f>
        <v>574055737.70491791</v>
      </c>
      <c r="H18" s="13"/>
    </row>
    <row r="19" spans="1:9" x14ac:dyDescent="0.4">
      <c r="C19" s="7">
        <v>60</v>
      </c>
      <c r="D19" s="18">
        <f>C19*B17</f>
        <v>36.196721311475414</v>
      </c>
      <c r="E19" s="9"/>
      <c r="F19" s="16">
        <f>SUM(C19,-D19)</f>
        <v>23.803278688524586</v>
      </c>
      <c r="H19" s="13"/>
    </row>
    <row r="20" spans="1:9" x14ac:dyDescent="0.4">
      <c r="A20" t="s">
        <v>105</v>
      </c>
      <c r="B20">
        <f>DATE(2019,10,31)-DATE(2019,9,1)+1</f>
        <v>61</v>
      </c>
      <c r="C20">
        <f>DATE(2019,10,31)-DATE(2019,7,16)+1</f>
        <v>108</v>
      </c>
    </row>
    <row r="21" spans="1:9" x14ac:dyDescent="0.4">
      <c r="B21">
        <f>B20/C20</f>
        <v>0.56481481481481477</v>
      </c>
      <c r="C21" s="7">
        <v>1666759</v>
      </c>
      <c r="D21" s="17">
        <f>C21*B21</f>
        <v>941410.17592592584</v>
      </c>
      <c r="E21" s="9"/>
      <c r="F21" s="18">
        <f>F17+D21</f>
        <v>14705529734.831661</v>
      </c>
    </row>
    <row r="22" spans="1:9" x14ac:dyDescent="0.4">
      <c r="C22" s="7">
        <v>2000000</v>
      </c>
      <c r="D22" s="17">
        <f>C22*B21</f>
        <v>1129629.6296296294</v>
      </c>
      <c r="E22" s="9"/>
      <c r="F22" s="18">
        <f>F18+D22</f>
        <v>575185367.33454752</v>
      </c>
    </row>
    <row r="23" spans="1:9" x14ac:dyDescent="0.4">
      <c r="C23" s="7">
        <v>6</v>
      </c>
      <c r="D23" s="17">
        <f>C23*B21</f>
        <v>3.3888888888888884</v>
      </c>
      <c r="E23" s="9"/>
      <c r="F23" s="18">
        <f>F19+D23</f>
        <v>27.192167577413475</v>
      </c>
    </row>
    <row r="24" spans="1:9" x14ac:dyDescent="0.4">
      <c r="B24">
        <f>DATE(2019,8,31)-DATE(2019,3,1)+1</f>
        <v>184</v>
      </c>
      <c r="C24">
        <f>DATE(2019,8,31)-DATE(2019,7,16)+1</f>
        <v>47</v>
      </c>
    </row>
    <row r="25" spans="1:9" x14ac:dyDescent="0.4">
      <c r="B25">
        <f>B24/C24</f>
        <v>3.9148936170212765</v>
      </c>
      <c r="C25" s="7">
        <f>C21-D21</f>
        <v>725348.82407407416</v>
      </c>
      <c r="D25" s="18">
        <f>C25*B25</f>
        <v>2839663.4814814818</v>
      </c>
    </row>
    <row r="26" spans="1:9" x14ac:dyDescent="0.4">
      <c r="C26" s="7">
        <f>C22-D22</f>
        <v>870370.37037037057</v>
      </c>
      <c r="D26" s="18">
        <f>C26*B25</f>
        <v>3407407.4074074081</v>
      </c>
    </row>
    <row r="27" spans="1:9" x14ac:dyDescent="0.4">
      <c r="C27" s="7">
        <f>C23-D23</f>
        <v>2.6111111111111116</v>
      </c>
      <c r="D27" s="18">
        <f>C27*B25</f>
        <v>10.222222222222223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Choi</dc:creator>
  <cp:lastModifiedBy>윤재원</cp:lastModifiedBy>
  <dcterms:created xsi:type="dcterms:W3CDTF">2015-06-05T18:19:34Z</dcterms:created>
  <dcterms:modified xsi:type="dcterms:W3CDTF">2025-11-16T12:31:25Z</dcterms:modified>
</cp:coreProperties>
</file>