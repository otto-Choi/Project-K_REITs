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내 드라이브\DArt-B\4.학술제\2_노트북\data\"/>
    </mc:Choice>
  </mc:AlternateContent>
  <xr:revisionPtr revIDLastSave="0" documentId="13_ncr:1_{639D177A-311A-4C89-95F4-19BBB5820E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리츠" sheetId="1" r:id="rId1"/>
    <sheet name="데이터셋" sheetId="2" r:id="rId2"/>
    <sheet name="Sheet2" sheetId="6" r:id="rId3"/>
    <sheet name="날짜 계산기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E10" i="5"/>
  <c r="F4" i="5"/>
  <c r="F5" i="5"/>
  <c r="F6" i="5"/>
  <c r="F7" i="5"/>
  <c r="F8" i="5"/>
  <c r="F9" i="5"/>
  <c r="F10" i="5"/>
  <c r="P186" i="2"/>
  <c r="E184" i="2"/>
  <c r="N4" i="4"/>
  <c r="D184" i="2"/>
  <c r="N3" i="4"/>
  <c r="K3" i="4"/>
  <c r="I167" i="2"/>
  <c r="L167" i="2" s="1"/>
  <c r="I165" i="2"/>
  <c r="I166" i="2"/>
  <c r="H165" i="2"/>
  <c r="H166" i="2"/>
  <c r="J159" i="2"/>
  <c r="L159" i="2" s="1"/>
  <c r="J160" i="2"/>
  <c r="I160" i="2"/>
  <c r="H154" i="2"/>
  <c r="L154" i="2" s="1"/>
  <c r="H155" i="2"/>
  <c r="L155" i="2" s="1"/>
  <c r="K136" i="2"/>
  <c r="L136" i="2" s="1"/>
  <c r="K135" i="2"/>
  <c r="L135" i="2" s="1"/>
  <c r="H133" i="2"/>
  <c r="D133" i="2"/>
  <c r="K130" i="2"/>
  <c r="L130" i="2" s="1"/>
  <c r="J68" i="2"/>
  <c r="L68" i="2" s="1"/>
  <c r="J72" i="2"/>
  <c r="L72" i="2" s="1"/>
  <c r="J71" i="2"/>
  <c r="L71" i="2" s="1"/>
  <c r="J69" i="2"/>
  <c r="L69" i="2" s="1"/>
  <c r="J70" i="2"/>
  <c r="L70" i="2" s="1"/>
  <c r="J73" i="2"/>
  <c r="L73" i="2" s="1"/>
  <c r="J74" i="2"/>
  <c r="L74" i="2" s="1"/>
  <c r="K63" i="2"/>
  <c r="L63" i="2" s="1"/>
  <c r="K61" i="2"/>
  <c r="L61" i="2" s="1"/>
  <c r="I52" i="2"/>
  <c r="L52" i="2" s="1"/>
  <c r="I50" i="2"/>
  <c r="L50" i="2" s="1"/>
  <c r="I51" i="2"/>
  <c r="K51" i="2"/>
  <c r="L48" i="2"/>
  <c r="H46" i="2"/>
  <c r="L46" i="2" s="1"/>
  <c r="K92" i="2"/>
  <c r="L92" i="2" s="1"/>
  <c r="K86" i="2"/>
  <c r="L86" i="2" s="1"/>
  <c r="I108" i="2"/>
  <c r="L108" i="2" s="1"/>
  <c r="I106" i="2"/>
  <c r="L106" i="2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7" i="2"/>
  <c r="L49" i="2"/>
  <c r="L53" i="2"/>
  <c r="L54" i="2"/>
  <c r="L55" i="2"/>
  <c r="L56" i="2"/>
  <c r="L57" i="2"/>
  <c r="L58" i="2"/>
  <c r="L59" i="2"/>
  <c r="L60" i="2"/>
  <c r="L62" i="2"/>
  <c r="L64" i="2"/>
  <c r="L65" i="2"/>
  <c r="L66" i="2"/>
  <c r="L67" i="2"/>
  <c r="L75" i="2"/>
  <c r="L76" i="2"/>
  <c r="L77" i="2"/>
  <c r="L78" i="2"/>
  <c r="L79" i="2"/>
  <c r="L80" i="2"/>
  <c r="L81" i="2"/>
  <c r="L82" i="2"/>
  <c r="L83" i="2"/>
  <c r="L84" i="2"/>
  <c r="L85" i="2"/>
  <c r="L87" i="2"/>
  <c r="L88" i="2"/>
  <c r="L89" i="2"/>
  <c r="L90" i="2"/>
  <c r="L91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7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M123" i="2" s="1"/>
  <c r="L124" i="2"/>
  <c r="L125" i="2"/>
  <c r="L126" i="2"/>
  <c r="L127" i="2"/>
  <c r="L128" i="2"/>
  <c r="L129" i="2"/>
  <c r="L131" i="2"/>
  <c r="L132" i="2"/>
  <c r="L134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6" i="2"/>
  <c r="L157" i="2"/>
  <c r="M157" i="2" s="1"/>
  <c r="L158" i="2"/>
  <c r="L161" i="2"/>
  <c r="L162" i="2"/>
  <c r="L163" i="2"/>
  <c r="L164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91" i="2"/>
  <c r="L192" i="2"/>
  <c r="L193" i="2"/>
  <c r="L194" i="2"/>
  <c r="L195" i="2"/>
  <c r="L2" i="2"/>
  <c r="Q184" i="2"/>
  <c r="P184" i="2"/>
  <c r="Q185" i="2"/>
  <c r="P185" i="2"/>
  <c r="E185" i="2"/>
  <c r="D185" i="2"/>
  <c r="Q186" i="2"/>
  <c r="E186" i="2"/>
  <c r="D186" i="2"/>
  <c r="Q187" i="2"/>
  <c r="P187" i="2"/>
  <c r="E187" i="2"/>
  <c r="D187" i="2"/>
  <c r="Q188" i="2"/>
  <c r="P188" i="2"/>
  <c r="E188" i="2"/>
  <c r="D188" i="2"/>
  <c r="Q189" i="2"/>
  <c r="P189" i="2"/>
  <c r="E189" i="2"/>
  <c r="D189" i="2"/>
  <c r="Q190" i="2"/>
  <c r="P190" i="2"/>
  <c r="E190" i="2"/>
  <c r="D190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" i="1"/>
  <c r="B7" i="4"/>
  <c r="F7" i="4"/>
  <c r="B4" i="4"/>
  <c r="F4" i="4"/>
  <c r="L166" i="2" l="1"/>
  <c r="M167" i="2" s="1"/>
  <c r="L165" i="2"/>
  <c r="M165" i="2" s="1"/>
  <c r="M168" i="2"/>
  <c r="L160" i="2"/>
  <c r="M161" i="2" s="1"/>
  <c r="M118" i="2"/>
  <c r="L133" i="2"/>
  <c r="M134" i="2" s="1"/>
  <c r="M103" i="2"/>
  <c r="M109" i="2"/>
  <c r="M94" i="2"/>
  <c r="M194" i="2"/>
  <c r="M178" i="2"/>
  <c r="M164" i="2"/>
  <c r="L185" i="2"/>
  <c r="M85" i="2"/>
  <c r="M75" i="2"/>
  <c r="M91" i="2"/>
  <c r="L51" i="2"/>
  <c r="M52" i="2" s="1"/>
  <c r="M36" i="2"/>
  <c r="M20" i="2"/>
  <c r="M34" i="2"/>
  <c r="M150" i="2"/>
  <c r="M119" i="2"/>
  <c r="M104" i="2"/>
  <c r="M65" i="2"/>
  <c r="M79" i="2"/>
  <c r="M80" i="2"/>
  <c r="M177" i="2"/>
  <c r="M149" i="2"/>
  <c r="M15" i="2"/>
  <c r="M45" i="2"/>
  <c r="M43" i="2"/>
  <c r="M50" i="2"/>
  <c r="M49" i="2"/>
  <c r="M35" i="2"/>
  <c r="M19" i="2"/>
  <c r="M48" i="2"/>
  <c r="M30" i="2"/>
  <c r="M14" i="2"/>
  <c r="M64" i="2"/>
  <c r="M62" i="2"/>
  <c r="M108" i="2"/>
  <c r="M179" i="2"/>
  <c r="M135" i="2"/>
  <c r="M120" i="2"/>
  <c r="M90" i="2"/>
  <c r="M60" i="2"/>
  <c r="M44" i="2"/>
  <c r="M78" i="2"/>
  <c r="M41" i="2"/>
  <c r="M25" i="2"/>
  <c r="M9" i="2"/>
  <c r="M195" i="2"/>
  <c r="M70" i="2"/>
  <c r="M55" i="2"/>
  <c r="M18" i="2"/>
  <c r="M31" i="2"/>
  <c r="L184" i="2"/>
  <c r="M148" i="2"/>
  <c r="M105" i="2"/>
  <c r="M107" i="2"/>
  <c r="M180" i="2"/>
  <c r="M152" i="2"/>
  <c r="M136" i="2"/>
  <c r="M121" i="2"/>
  <c r="M46" i="2"/>
  <c r="M32" i="2"/>
  <c r="M151" i="2"/>
  <c r="M106" i="2"/>
  <c r="M63" i="2"/>
  <c r="M29" i="2"/>
  <c r="M61" i="2"/>
  <c r="M17" i="2"/>
  <c r="M147" i="2"/>
  <c r="M59" i="2"/>
  <c r="M47" i="2"/>
  <c r="M13" i="2"/>
  <c r="M89" i="2"/>
  <c r="M176" i="2"/>
  <c r="M88" i="2"/>
  <c r="M16" i="2"/>
  <c r="M175" i="2"/>
  <c r="M132" i="2"/>
  <c r="M77" i="2"/>
  <c r="M76" i="2"/>
  <c r="M163" i="2"/>
  <c r="M33" i="2"/>
  <c r="M117" i="2"/>
  <c r="M74" i="2"/>
  <c r="M3" i="2"/>
  <c r="M162" i="2"/>
  <c r="M181" i="2"/>
  <c r="M153" i="2"/>
  <c r="M137" i="2"/>
  <c r="M122" i="2"/>
  <c r="M92" i="2"/>
  <c r="M93" i="2"/>
  <c r="L190" i="2"/>
  <c r="M191" i="2" s="1"/>
  <c r="L186" i="2"/>
  <c r="M193" i="2"/>
  <c r="M146" i="2"/>
  <c r="M131" i="2"/>
  <c r="M116" i="2"/>
  <c r="M192" i="2"/>
  <c r="M173" i="2"/>
  <c r="M159" i="2"/>
  <c r="M145" i="2"/>
  <c r="M130" i="2"/>
  <c r="M115" i="2"/>
  <c r="M102" i="2"/>
  <c r="M87" i="2"/>
  <c r="M73" i="2"/>
  <c r="M58" i="2"/>
  <c r="M28" i="2"/>
  <c r="M12" i="2"/>
  <c r="M174" i="2"/>
  <c r="M158" i="2"/>
  <c r="M129" i="2"/>
  <c r="M114" i="2"/>
  <c r="M101" i="2"/>
  <c r="M86" i="2"/>
  <c r="M72" i="2"/>
  <c r="M57" i="2"/>
  <c r="M27" i="2"/>
  <c r="M11" i="2"/>
  <c r="M171" i="2"/>
  <c r="M143" i="2"/>
  <c r="M128" i="2"/>
  <c r="M113" i="2"/>
  <c r="M100" i="2"/>
  <c r="M71" i="2"/>
  <c r="M56" i="2"/>
  <c r="M42" i="2"/>
  <c r="M26" i="2"/>
  <c r="M10" i="2"/>
  <c r="M172" i="2"/>
  <c r="M170" i="2"/>
  <c r="M142" i="2"/>
  <c r="M127" i="2"/>
  <c r="M112" i="2"/>
  <c r="M99" i="2"/>
  <c r="M144" i="2"/>
  <c r="L188" i="2"/>
  <c r="M169" i="2"/>
  <c r="M141" i="2"/>
  <c r="M126" i="2"/>
  <c r="M111" i="2"/>
  <c r="M98" i="2"/>
  <c r="M84" i="2"/>
  <c r="M69" i="2"/>
  <c r="M54" i="2"/>
  <c r="M40" i="2"/>
  <c r="M24" i="2"/>
  <c r="M8" i="2"/>
  <c r="M156" i="2"/>
  <c r="M140" i="2"/>
  <c r="M125" i="2"/>
  <c r="M110" i="2"/>
  <c r="M97" i="2"/>
  <c r="M83" i="2"/>
  <c r="M68" i="2"/>
  <c r="M53" i="2"/>
  <c r="M39" i="2"/>
  <c r="M23" i="2"/>
  <c r="M7" i="2"/>
  <c r="M183" i="2"/>
  <c r="M155" i="2"/>
  <c r="M139" i="2"/>
  <c r="M124" i="2"/>
  <c r="M96" i="2"/>
  <c r="M82" i="2"/>
  <c r="M67" i="2"/>
  <c r="M38" i="2"/>
  <c r="M22" i="2"/>
  <c r="M6" i="2"/>
  <c r="M182" i="2"/>
  <c r="M166" i="2"/>
  <c r="M154" i="2"/>
  <c r="M138" i="2"/>
  <c r="M95" i="2"/>
  <c r="M81" i="2"/>
  <c r="M66" i="2"/>
  <c r="M37" i="2"/>
  <c r="M21" i="2"/>
  <c r="M5" i="2"/>
  <c r="M4" i="2"/>
  <c r="L187" i="2"/>
  <c r="L189" i="2"/>
  <c r="E13" i="4"/>
  <c r="E10" i="4"/>
  <c r="M133" i="2" l="1"/>
  <c r="M160" i="2"/>
  <c r="M51" i="2"/>
  <c r="M184" i="2"/>
  <c r="M185" i="2"/>
  <c r="O4" i="4"/>
  <c r="O5" i="4"/>
  <c r="O6" i="4"/>
  <c r="M189" i="2"/>
  <c r="M186" i="2"/>
  <c r="M187" i="2"/>
  <c r="M188" i="2"/>
  <c r="M190" i="2"/>
  <c r="O3" i="4"/>
  <c r="L3" i="4"/>
  <c r="L4" i="4"/>
  <c r="L5" i="4"/>
  <c r="L6" i="4"/>
</calcChain>
</file>

<file path=xl/sharedStrings.xml><?xml version="1.0" encoding="utf-8"?>
<sst xmlns="http://schemas.openxmlformats.org/spreadsheetml/2006/main" count="242" uniqueCount="167">
  <si>
    <t>삼성FN리츠</t>
  </si>
  <si>
    <t>한화리츠</t>
  </si>
  <si>
    <t>KB스타리츠</t>
  </si>
  <si>
    <t>스타에스엠리츠</t>
  </si>
  <si>
    <t>케이탑리츠</t>
  </si>
  <si>
    <t>에이리츠</t>
  </si>
  <si>
    <t>신한서부티엔디리츠</t>
  </si>
  <si>
    <t>SK리츠</t>
  </si>
  <si>
    <t>디앤디플랫폼리츠</t>
  </si>
  <si>
    <t>ESR켄달스퀘어리츠</t>
  </si>
  <si>
    <t>코람코라이프인프라리츠</t>
  </si>
  <si>
    <t>미래에셋맵스리츠</t>
  </si>
  <si>
    <t>이지스레지던스리츠</t>
  </si>
  <si>
    <t>NH프라임리츠</t>
  </si>
  <si>
    <t>롯데리츠</t>
  </si>
  <si>
    <t>신한알파리츠</t>
  </si>
  <si>
    <t>이리츠코크렙</t>
  </si>
  <si>
    <t>리츠 명</t>
    <phoneticPr fontId="2" type="noConversion"/>
  </si>
  <si>
    <t>종목번호</t>
    <phoneticPr fontId="2" type="noConversion"/>
  </si>
  <si>
    <t>상장여부</t>
    <phoneticPr fontId="2" type="noConversion"/>
  </si>
  <si>
    <t>상장시기</t>
    <phoneticPr fontId="2" type="noConversion"/>
  </si>
  <si>
    <t>다산리츠</t>
    <phoneticPr fontId="2" type="noConversion"/>
  </si>
  <si>
    <t>골든나래리츠</t>
    <phoneticPr fontId="2" type="noConversion"/>
  </si>
  <si>
    <t>에프지엔개발리츠</t>
    <phoneticPr fontId="2" type="noConversion"/>
  </si>
  <si>
    <t>트러스제7호</t>
    <phoneticPr fontId="2" type="noConversion"/>
  </si>
  <si>
    <t>상폐이유</t>
    <phoneticPr fontId="2" type="noConversion"/>
  </si>
  <si>
    <t>embezzlement</t>
    <phoneticPr fontId="2" type="noConversion"/>
  </si>
  <si>
    <t>underscale</t>
    <phoneticPr fontId="2" type="noConversion"/>
  </si>
  <si>
    <t>KB부국위탁리츠</t>
    <phoneticPr fontId="2" type="noConversion"/>
  </si>
  <si>
    <t>마스턴프리미어리츠</t>
    <phoneticPr fontId="2" type="noConversion"/>
  </si>
  <si>
    <t>상장폐지 시기</t>
    <phoneticPr fontId="2" type="noConversion"/>
  </si>
  <si>
    <t>이코리아리츠</t>
    <phoneticPr fontId="2" type="noConversion"/>
  </si>
  <si>
    <t>코람코원리츠</t>
    <phoneticPr fontId="2" type="noConversion"/>
  </si>
  <si>
    <t>204210</t>
  </si>
  <si>
    <t>145270</t>
  </si>
  <si>
    <t>140910</t>
  </si>
  <si>
    <t>404990</t>
  </si>
  <si>
    <t>348950</t>
  </si>
  <si>
    <t>350520</t>
  </si>
  <si>
    <t>330590</t>
  </si>
  <si>
    <t>293940</t>
    <phoneticPr fontId="2" type="noConversion"/>
  </si>
  <si>
    <t>088260</t>
  </si>
  <si>
    <t>040950</t>
  </si>
  <si>
    <t>119250</t>
  </si>
  <si>
    <t>138440</t>
    <phoneticPr fontId="2" type="noConversion"/>
  </si>
  <si>
    <t>140890</t>
  </si>
  <si>
    <t>149130</t>
  </si>
  <si>
    <t>119250</t>
    <phoneticPr fontId="2" type="noConversion"/>
  </si>
  <si>
    <t>expired</t>
    <phoneticPr fontId="2" type="noConversion"/>
  </si>
  <si>
    <t>대신밸류리츠</t>
    <phoneticPr fontId="2" type="noConversion"/>
  </si>
  <si>
    <t>year</t>
    <phoneticPr fontId="2" type="noConversion"/>
  </si>
  <si>
    <t>NI</t>
    <phoneticPr fontId="2" type="noConversion"/>
  </si>
  <si>
    <t>Dep</t>
    <phoneticPr fontId="2" type="noConversion"/>
  </si>
  <si>
    <t>gain_on_disposition</t>
    <phoneticPr fontId="2" type="noConversion"/>
  </si>
  <si>
    <t>gain_on_appreciation</t>
    <phoneticPr fontId="2" type="noConversion"/>
  </si>
  <si>
    <t>dividend</t>
    <phoneticPr fontId="2" type="noConversion"/>
  </si>
  <si>
    <t>loss_of_disposition</t>
    <phoneticPr fontId="2" type="noConversion"/>
  </si>
  <si>
    <t>loss_of_appreciation</t>
    <phoneticPr fontId="2" type="noConversion"/>
  </si>
  <si>
    <t>code</t>
    <phoneticPr fontId="2" type="noConversion"/>
  </si>
  <si>
    <t>신한글로벌액티브리츠</t>
    <phoneticPr fontId="2" type="noConversion"/>
  </si>
  <si>
    <t>481850</t>
    <phoneticPr fontId="2" type="noConversion"/>
  </si>
  <si>
    <t>직접투자 여부</t>
    <phoneticPr fontId="2" type="noConversion"/>
  </si>
  <si>
    <t>357430</t>
    <phoneticPr fontId="2" type="noConversion"/>
  </si>
  <si>
    <t>미래에셋글로벌리츠</t>
    <phoneticPr fontId="2" type="noConversion"/>
  </si>
  <si>
    <t>dps</t>
    <phoneticPr fontId="2" type="noConversion"/>
  </si>
  <si>
    <t>NH올원리츠</t>
    <phoneticPr fontId="2" type="noConversion"/>
  </si>
  <si>
    <t>400760</t>
    <phoneticPr fontId="2" type="noConversion"/>
  </si>
  <si>
    <t>제이알글로벌리츠</t>
    <phoneticPr fontId="2" type="noConversion"/>
  </si>
  <si>
    <t>1월결산</t>
    <phoneticPr fontId="2" type="noConversion"/>
  </si>
  <si>
    <t>2월결산</t>
    <phoneticPr fontId="2" type="noConversion"/>
  </si>
  <si>
    <t>3월결산</t>
    <phoneticPr fontId="2" type="noConversion"/>
  </si>
  <si>
    <t>4월결산</t>
    <phoneticPr fontId="2" type="noConversion"/>
  </si>
  <si>
    <t>5월결산</t>
    <phoneticPr fontId="2" type="noConversion"/>
  </si>
  <si>
    <t>6월결산</t>
    <phoneticPr fontId="2" type="noConversion"/>
  </si>
  <si>
    <t>7월결산</t>
    <phoneticPr fontId="2" type="noConversion"/>
  </si>
  <si>
    <t>8월결산</t>
    <phoneticPr fontId="2" type="noConversion"/>
  </si>
  <si>
    <t>9월결산</t>
    <phoneticPr fontId="2" type="noConversion"/>
  </si>
  <si>
    <t>10월결산</t>
    <phoneticPr fontId="2" type="noConversion"/>
  </si>
  <si>
    <t>11월결산</t>
    <phoneticPr fontId="2" type="noConversion"/>
  </si>
  <si>
    <t>12월결산</t>
    <phoneticPr fontId="2" type="noConversion"/>
  </si>
  <si>
    <t>결산횟수</t>
    <phoneticPr fontId="2" type="noConversion"/>
  </si>
  <si>
    <t>~까지</t>
    <phoneticPr fontId="2" type="noConversion"/>
  </si>
  <si>
    <t>~부터</t>
    <phoneticPr fontId="2" type="noConversion"/>
  </si>
  <si>
    <t>일</t>
    <phoneticPr fontId="2" type="noConversion"/>
  </si>
  <si>
    <t>338100</t>
    <phoneticPr fontId="2" type="noConversion"/>
  </si>
  <si>
    <t>FFO</t>
    <phoneticPr fontId="2" type="noConversion"/>
  </si>
  <si>
    <t>451800</t>
    <phoneticPr fontId="2" type="noConversion"/>
  </si>
  <si>
    <t>417310</t>
    <phoneticPr fontId="2" type="noConversion"/>
  </si>
  <si>
    <t>month</t>
    <phoneticPr fontId="2" type="noConversion"/>
  </si>
  <si>
    <t>gain_on_others</t>
    <phoneticPr fontId="2" type="noConversion"/>
  </si>
  <si>
    <t>looss_of_others</t>
    <phoneticPr fontId="2" type="noConversion"/>
  </si>
  <si>
    <t>0030R0</t>
    <phoneticPr fontId="2" type="noConversion"/>
  </si>
  <si>
    <t>이지스밸류플러스리츠</t>
    <phoneticPr fontId="2" type="noConversion"/>
  </si>
  <si>
    <t>334890</t>
    <phoneticPr fontId="2" type="noConversion"/>
  </si>
  <si>
    <t>448730</t>
    <phoneticPr fontId="2" type="noConversion"/>
  </si>
  <si>
    <t>432320</t>
    <phoneticPr fontId="2" type="noConversion"/>
  </si>
  <si>
    <t>396690</t>
    <phoneticPr fontId="2" type="noConversion"/>
  </si>
  <si>
    <t>395400</t>
    <phoneticPr fontId="2" type="noConversion"/>
  </si>
  <si>
    <t>377190</t>
    <phoneticPr fontId="2" type="noConversion"/>
  </si>
  <si>
    <t>365550</t>
    <phoneticPr fontId="2" type="noConversion"/>
  </si>
  <si>
    <t>357120</t>
    <phoneticPr fontId="2" type="noConversion"/>
  </si>
  <si>
    <t>357250</t>
    <phoneticPr fontId="2" type="noConversion"/>
  </si>
  <si>
    <t>7년 존속 기업</t>
    <phoneticPr fontId="2" type="noConversion"/>
  </si>
  <si>
    <t>세금과공과++, 기타수익++, 이자비용++  --&gt; 실제 부담하는 NI 성격으로 제거가 적절치 않다고 판단</t>
    <phoneticPr fontId="2" type="noConversion"/>
  </si>
  <si>
    <t>금융비용++++</t>
    <phoneticPr fontId="2" type="noConversion"/>
  </si>
  <si>
    <t>증가한 금융비용 부담이 유지됨</t>
    <phoneticPr fontId="2" type="noConversion"/>
  </si>
  <si>
    <t>기타수익++, 임대수익++ --&gt; 적정한듯</t>
    <phoneticPr fontId="2" type="noConversion"/>
  </si>
  <si>
    <t>금융비용++++, 평가이익++</t>
    <phoneticPr fontId="2" type="noConversion"/>
  </si>
  <si>
    <t>처분이익, 수수료 등 조정</t>
    <phoneticPr fontId="2" type="noConversion"/>
  </si>
  <si>
    <t>배당수익++</t>
    <phoneticPr fontId="2" type="noConversion"/>
  </si>
  <si>
    <t>배당수익--,</t>
    <phoneticPr fontId="2" type="noConversion"/>
  </si>
  <si>
    <t>배당수익++++</t>
    <phoneticPr fontId="2" type="noConversion"/>
  </si>
  <si>
    <t>미상 판관비, 배당--</t>
    <phoneticPr fontId="2" type="noConversion"/>
  </si>
  <si>
    <t>특정 외부로부터 일시적인 큰 배당금이 존재: 동시에 평가손실이 크게 발생, 일시적인 수수료++++</t>
    <phoneticPr fontId="2" type="noConversion"/>
  </si>
  <si>
    <t>수수료++++</t>
    <phoneticPr fontId="2" type="noConversion"/>
  </si>
  <si>
    <t>기타수익--, 금융비용++++</t>
    <phoneticPr fontId="2" type="noConversion"/>
  </si>
  <si>
    <t>배당수익----, 높아진 금융비용 유지</t>
    <phoneticPr fontId="2" type="noConversion"/>
  </si>
  <si>
    <t>배당수익--. 금융비용++++</t>
    <phoneticPr fontId="2" type="noConversion"/>
  </si>
  <si>
    <t>법인세비용++, 배당수익++, 수수료--</t>
    <phoneticPr fontId="2" type="noConversion"/>
  </si>
  <si>
    <t>배당수익++++, 금융비용 소폭 감소</t>
    <phoneticPr fontId="2" type="noConversion"/>
  </si>
  <si>
    <t>배당수익----</t>
    <phoneticPr fontId="2" type="noConversion"/>
  </si>
  <si>
    <t>금융비용++</t>
    <phoneticPr fontId="2" type="noConversion"/>
  </si>
  <si>
    <t>지분법이익 제거: 이하 동일한 처리</t>
    <phoneticPr fontId="2" type="noConversion"/>
  </si>
  <si>
    <t>금융수익++</t>
    <phoneticPr fontId="2" type="noConversion"/>
  </si>
  <si>
    <t>금융비용++, 금융수익--</t>
    <phoneticPr fontId="2" type="noConversion"/>
  </si>
  <si>
    <t>이자비용++</t>
    <phoneticPr fontId="2" type="noConversion"/>
  </si>
  <si>
    <t>금융수익++++</t>
    <phoneticPr fontId="2" type="noConversion"/>
  </si>
  <si>
    <t>금융비용++(그만큼은 아니지만 금융수익++)</t>
    <phoneticPr fontId="2" type="noConversion"/>
  </si>
  <si>
    <t>금융비용++, 처분이익발생, 임대수익++(유상증자후 사이즈 업)</t>
    <phoneticPr fontId="2" type="noConversion"/>
  </si>
  <si>
    <t>금융수익--, 금융비용++</t>
    <phoneticPr fontId="2" type="noConversion"/>
  </si>
  <si>
    <t>금융비용 소폭감소, 금융수익 소폭상승, 임대수익 소폭상승</t>
    <phoneticPr fontId="2" type="noConversion"/>
  </si>
  <si>
    <t>금융원가++++</t>
    <phoneticPr fontId="2" type="noConversion"/>
  </si>
  <si>
    <t>금융원가----</t>
    <phoneticPr fontId="2" type="noConversion"/>
  </si>
  <si>
    <t>금융비용++, 세금과공과++++</t>
    <phoneticPr fontId="2" type="noConversion"/>
  </si>
  <si>
    <t>세금과공과++, 금융비용++</t>
    <phoneticPr fontId="2" type="noConversion"/>
  </si>
  <si>
    <t>높아진 금융비용 유지, 중단영업비중 높아짐</t>
    <phoneticPr fontId="2" type="noConversion"/>
  </si>
  <si>
    <t>대규모 유상증자</t>
    <phoneticPr fontId="2" type="noConversion"/>
  </si>
  <si>
    <t>금융비용++++++, 수수료++++, 세금과공과 ++++ --&gt; 사이즈업으로 인한영향?</t>
    <phoneticPr fontId="2" type="noConversion"/>
  </si>
  <si>
    <t>자산관리수수료++</t>
    <phoneticPr fontId="2" type="noConversion"/>
  </si>
  <si>
    <t>자산관리수수료++, 금융원가++++</t>
    <phoneticPr fontId="2" type="noConversion"/>
  </si>
  <si>
    <t>원인미상 기타수익++</t>
    <phoneticPr fontId="2" type="noConversion"/>
  </si>
  <si>
    <t>수익성 개선</t>
    <phoneticPr fontId="2" type="noConversion"/>
  </si>
  <si>
    <t xml:space="preserve">*************신한글로벌액티브리츠: 상장후 적자 지속중, </t>
    <phoneticPr fontId="2" type="noConversion"/>
  </si>
  <si>
    <t>대규모 차입, 투자부동산 대규모 매입으로 매출 증가</t>
    <phoneticPr fontId="2" type="noConversion"/>
  </si>
  <si>
    <t>금융비용--</t>
    <phoneticPr fontId="2" type="noConversion"/>
  </si>
  <si>
    <t>전기오류수정손실</t>
    <phoneticPr fontId="2" type="noConversion"/>
  </si>
  <si>
    <t>이자비용++++, 금융수익--</t>
    <phoneticPr fontId="2" type="noConversion"/>
  </si>
  <si>
    <t xml:space="preserve">높아진 금융비용 유지 </t>
    <phoneticPr fontId="2" type="noConversion"/>
  </si>
  <si>
    <t>금융비용--, 동일 거래에 대한 수익성 개선</t>
    <phoneticPr fontId="2" type="noConversion"/>
  </si>
  <si>
    <t xml:space="preserve"> 동일 거래에 대한 수익성 개선</t>
    <phoneticPr fontId="2" type="noConversion"/>
  </si>
  <si>
    <t>대규모 차입, 투자부동산 대규모 매입으로 매출 증가 &lt;-&gt; 금융비용증가, 세금증가, 수수료 증가</t>
    <phoneticPr fontId="2" type="noConversion"/>
  </si>
  <si>
    <t>대규모 증자, 전기에 차입한 사채 상환, 추가적으로 임대료수익 대폭 증가</t>
    <phoneticPr fontId="2" type="noConversion"/>
  </si>
  <si>
    <t>year</t>
  </si>
  <si>
    <t>month</t>
  </si>
  <si>
    <t>code</t>
  </si>
  <si>
    <t>FFO</t>
  </si>
  <si>
    <t>FFO-adjusted</t>
    <phoneticPr fontId="2" type="noConversion"/>
  </si>
  <si>
    <t>yoy</t>
    <phoneticPr fontId="2" type="noConversion"/>
  </si>
  <si>
    <t>당기순이익</t>
    <phoneticPr fontId="2" type="noConversion"/>
  </si>
  <si>
    <t>+</t>
    <phoneticPr fontId="2" type="noConversion"/>
  </si>
  <si>
    <t>감가상각비</t>
    <phoneticPr fontId="2" type="noConversion"/>
  </si>
  <si>
    <t>FVPL측정금융자산 평가이익</t>
    <phoneticPr fontId="2" type="noConversion"/>
  </si>
  <si>
    <t>-</t>
    <phoneticPr fontId="2" type="noConversion"/>
  </si>
  <si>
    <t>투자부동산 처분이익</t>
    <phoneticPr fontId="2" type="noConversion"/>
  </si>
  <si>
    <t>투자부동산 처분손실</t>
    <phoneticPr fontId="2" type="noConversion"/>
  </si>
  <si>
    <t>자산처분관련 수수료</t>
    <phoneticPr fontId="2" type="noConversion"/>
  </si>
  <si>
    <t>088260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</si>
</sst>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00000000_-;\-* #,##0.0000000000_-;_-* &quot;-&quot;_-;_-@_-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7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0061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7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1" fontId="3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61">
    <xf numFmtId="0" fontId="0" fillId="0" borderId="0" xfId="0"/>
    <xf numFmtId="14" fontId="0" fillId="0" borderId="0" xfId="0" applyNumberFormat="1"/>
    <xf numFmtId="49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/>
    </xf>
    <xf numFmtId="41" fontId="4" fillId="0" borderId="0" xfId="1" applyFont="1" applyAlignment="1"/>
    <xf numFmtId="0" fontId="4" fillId="0" borderId="0" xfId="0" applyFont="1" applyAlignment="1">
      <alignment horizontal="left"/>
    </xf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41" fontId="5" fillId="0" borderId="0" xfId="1" applyFont="1" applyAlignment="1"/>
    <xf numFmtId="41" fontId="5" fillId="0" borderId="0" xfId="1" applyFont="1" applyFill="1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1" fontId="5" fillId="0" borderId="2" xfId="1" applyFont="1" applyFill="1" applyBorder="1" applyAlignment="1"/>
    <xf numFmtId="0" fontId="4" fillId="0" borderId="2" xfId="0" applyFont="1" applyBorder="1"/>
    <xf numFmtId="0" fontId="5" fillId="0" borderId="3" xfId="0" applyFont="1" applyBorder="1" applyAlignment="1">
      <alignment horizontal="center"/>
    </xf>
    <xf numFmtId="41" fontId="5" fillId="0" borderId="0" xfId="1" applyFont="1" applyFill="1" applyBorder="1" applyAlignment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41" fontId="5" fillId="0" borderId="5" xfId="1" applyFont="1" applyFill="1" applyBorder="1" applyAlignment="1"/>
    <xf numFmtId="0" fontId="4" fillId="0" borderId="5" xfId="0" applyFont="1" applyBorder="1"/>
    <xf numFmtId="0" fontId="4" fillId="0" borderId="2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41" fontId="0" fillId="0" borderId="0" xfId="1" applyFont="1" applyAlignment="1"/>
    <xf numFmtId="41" fontId="6" fillId="0" borderId="0" xfId="1" applyFont="1" applyAlignment="1"/>
    <xf numFmtId="3" fontId="0" fillId="0" borderId="0" xfId="0" applyNumberFormat="1"/>
    <xf numFmtId="0" fontId="9" fillId="0" borderId="0" xfId="0" applyFont="1"/>
    <xf numFmtId="41" fontId="10" fillId="0" borderId="0" xfId="1" applyFont="1" applyFill="1" applyAlignment="1"/>
    <xf numFmtId="41" fontId="10" fillId="0" borderId="2" xfId="1" applyFont="1" applyFill="1" applyBorder="1" applyAlignment="1"/>
    <xf numFmtId="41" fontId="10" fillId="0" borderId="0" xfId="1" applyFont="1" applyFill="1" applyBorder="1" applyAlignment="1"/>
    <xf numFmtId="41" fontId="10" fillId="0" borderId="5" xfId="1" applyFont="1" applyFill="1" applyBorder="1" applyAlignment="1"/>
    <xf numFmtId="41" fontId="11" fillId="0" borderId="0" xfId="1" applyFont="1" applyAlignment="1"/>
    <xf numFmtId="176" fontId="5" fillId="0" borderId="0" xfId="1" applyNumberFormat="1" applyFont="1" applyFill="1" applyAlignment="1"/>
    <xf numFmtId="176" fontId="5" fillId="0" borderId="2" xfId="1" applyNumberFormat="1" applyFont="1" applyFill="1" applyBorder="1" applyAlignment="1"/>
    <xf numFmtId="176" fontId="5" fillId="0" borderId="0" xfId="1" applyNumberFormat="1" applyFont="1" applyFill="1" applyBorder="1" applyAlignment="1"/>
    <xf numFmtId="176" fontId="5" fillId="0" borderId="5" xfId="1" applyNumberFormat="1" applyFont="1" applyFill="1" applyBorder="1" applyAlignment="1"/>
    <xf numFmtId="176" fontId="4" fillId="0" borderId="0" xfId="1" applyNumberFormat="1" applyFont="1" applyAlignment="1"/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49" fontId="5" fillId="0" borderId="0" xfId="0" applyNumberFormat="1" applyFont="1" applyAlignment="1">
      <alignment horizontal="center"/>
    </xf>
    <xf numFmtId="49" fontId="8" fillId="0" borderId="2" xfId="3" applyNumberFormat="1" applyFill="1" applyBorder="1" applyAlignment="1">
      <alignment horizontal="center"/>
    </xf>
    <xf numFmtId="49" fontId="8" fillId="0" borderId="0" xfId="3" applyNumberFormat="1" applyFill="1" applyAlignment="1">
      <alignment horizontal="center"/>
    </xf>
    <xf numFmtId="49" fontId="8" fillId="0" borderId="5" xfId="3" applyNumberFormat="1" applyFill="1" applyBorder="1" applyAlignment="1">
      <alignment horizontal="center"/>
    </xf>
    <xf numFmtId="49" fontId="7" fillId="2" borderId="2" xfId="2" applyNumberFormat="1" applyBorder="1" applyAlignment="1">
      <alignment horizontal="center"/>
    </xf>
    <xf numFmtId="49" fontId="7" fillId="2" borderId="0" xfId="2" applyNumberFormat="1" applyBorder="1" applyAlignment="1">
      <alignment horizontal="center"/>
    </xf>
    <xf numFmtId="49" fontId="7" fillId="2" borderId="5" xfId="2" applyNumberFormat="1" applyBorder="1" applyAlignment="1">
      <alignment horizontal="center"/>
    </xf>
    <xf numFmtId="49" fontId="7" fillId="2" borderId="0" xfId="2" applyNumberFormat="1" applyAlignment="1">
      <alignment horizontal="center"/>
    </xf>
    <xf numFmtId="49" fontId="4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5" xfId="0" applyBorder="1" applyAlignment="1">
      <alignment horizontal="left"/>
    </xf>
    <xf numFmtId="41" fontId="0" fillId="0" borderId="5" xfId="1" applyFont="1" applyBorder="1" applyAlignment="1"/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left"/>
    </xf>
    <xf numFmtId="41" fontId="0" fillId="3" borderId="0" xfId="1" applyFont="1" applyFill="1" applyAlignment="1"/>
    <xf numFmtId="0" fontId="0" fillId="3" borderId="5" xfId="0" applyFill="1" applyBorder="1" applyAlignment="1">
      <alignment horizontal="left"/>
    </xf>
    <xf numFmtId="41" fontId="0" fillId="3" borderId="5" xfId="1" applyFont="1" applyFill="1" applyBorder="1" applyAlignment="1"/>
  </cellXfs>
  <cellStyles count="4">
    <cellStyle name="경고문" xfId="3" builtinId="11"/>
    <cellStyle name="쉼표 [0]" xfId="1" builtinId="6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opLeftCell="A4" zoomScale="85" zoomScaleNormal="85" workbookViewId="0">
      <selection activeCell="A24" sqref="A24"/>
    </sheetView>
  </sheetViews>
  <sheetFormatPr defaultRowHeight="17.399999999999999" x14ac:dyDescent="0.4"/>
  <cols>
    <col min="1" max="1" width="8.69921875" style="2"/>
    <col min="2" max="2" width="22.19921875" style="8" bestFit="1" customWidth="1"/>
    <col min="4" max="4" width="13.59765625" bestFit="1" customWidth="1"/>
    <col min="5" max="5" width="10.8984375" bestFit="1" customWidth="1"/>
    <col min="6" max="7" width="13.69921875" bestFit="1" customWidth="1"/>
    <col min="9" max="11" width="9" style="28"/>
    <col min="13" max="13" width="11.19921875" style="28" customWidth="1"/>
    <col min="14" max="17" width="9" style="28"/>
    <col min="19" max="19" width="9" style="28"/>
  </cols>
  <sheetData>
    <row r="1" spans="1:20" x14ac:dyDescent="0.4">
      <c r="A1" s="2" t="s">
        <v>18</v>
      </c>
      <c r="B1" s="8" t="s">
        <v>17</v>
      </c>
      <c r="C1" t="s">
        <v>19</v>
      </c>
      <c r="D1" t="s">
        <v>25</v>
      </c>
      <c r="E1" t="s">
        <v>20</v>
      </c>
      <c r="F1" t="s">
        <v>30</v>
      </c>
      <c r="G1" t="s">
        <v>61</v>
      </c>
      <c r="H1" s="8" t="s">
        <v>68</v>
      </c>
      <c r="I1" s="8" t="s">
        <v>69</v>
      </c>
      <c r="J1" s="8" t="s">
        <v>70</v>
      </c>
      <c r="K1" s="8" t="s">
        <v>71</v>
      </c>
      <c r="L1" s="8" t="s">
        <v>72</v>
      </c>
      <c r="M1" s="8" t="s">
        <v>73</v>
      </c>
      <c r="N1" s="8" t="s">
        <v>74</v>
      </c>
      <c r="O1" s="8" t="s">
        <v>75</v>
      </c>
      <c r="P1" s="8" t="s">
        <v>76</v>
      </c>
      <c r="Q1" s="8" t="s">
        <v>77</v>
      </c>
      <c r="R1" s="8" t="s">
        <v>78</v>
      </c>
      <c r="S1" s="8" t="s">
        <v>79</v>
      </c>
      <c r="T1" s="8" t="s">
        <v>80</v>
      </c>
    </row>
    <row r="2" spans="1:20" x14ac:dyDescent="0.4">
      <c r="A2" s="2" t="s">
        <v>91</v>
      </c>
      <c r="B2" s="9" t="s">
        <v>49</v>
      </c>
      <c r="C2">
        <v>1</v>
      </c>
      <c r="E2" s="1">
        <v>45848</v>
      </c>
      <c r="F2" s="1"/>
      <c r="H2" s="8">
        <v>0</v>
      </c>
      <c r="I2" s="8">
        <v>1</v>
      </c>
      <c r="J2" s="8">
        <v>0</v>
      </c>
      <c r="K2" s="8">
        <v>0</v>
      </c>
      <c r="L2" s="8">
        <v>1</v>
      </c>
      <c r="M2" s="8">
        <v>0</v>
      </c>
      <c r="N2" s="8">
        <v>0</v>
      </c>
      <c r="O2" s="8">
        <v>1</v>
      </c>
      <c r="P2" s="8">
        <v>0</v>
      </c>
      <c r="Q2" s="8">
        <v>0</v>
      </c>
      <c r="R2" s="8">
        <v>1</v>
      </c>
      <c r="S2" s="8">
        <v>0</v>
      </c>
      <c r="T2" s="8">
        <f>SUM(H2:S2)</f>
        <v>4</v>
      </c>
    </row>
    <row r="3" spans="1:20" x14ac:dyDescent="0.4">
      <c r="A3" s="2" t="s">
        <v>60</v>
      </c>
      <c r="B3" s="9" t="s">
        <v>59</v>
      </c>
      <c r="C3">
        <v>1</v>
      </c>
      <c r="E3" s="1">
        <v>45474</v>
      </c>
      <c r="F3" s="1"/>
      <c r="G3">
        <v>0</v>
      </c>
      <c r="H3" s="8">
        <v>0</v>
      </c>
      <c r="I3" s="8">
        <v>1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1</v>
      </c>
      <c r="P3" s="8">
        <v>0</v>
      </c>
      <c r="Q3" s="8">
        <v>0</v>
      </c>
      <c r="R3" s="8">
        <v>0</v>
      </c>
      <c r="S3" s="8">
        <v>0</v>
      </c>
      <c r="T3" s="8">
        <f t="shared" ref="T3:T26" si="0">SUM(H3:S3)</f>
        <v>2</v>
      </c>
    </row>
    <row r="4" spans="1:20" x14ac:dyDescent="0.4">
      <c r="A4" s="2" t="s">
        <v>94</v>
      </c>
      <c r="B4" s="9" t="s">
        <v>0</v>
      </c>
      <c r="C4">
        <v>1</v>
      </c>
      <c r="E4" s="1">
        <v>45026</v>
      </c>
      <c r="F4" s="1"/>
      <c r="H4" s="8">
        <v>1</v>
      </c>
      <c r="I4" s="8">
        <v>0</v>
      </c>
      <c r="J4" s="8">
        <v>0</v>
      </c>
      <c r="K4" s="8">
        <v>1</v>
      </c>
      <c r="L4" s="8">
        <v>0</v>
      </c>
      <c r="M4" s="8">
        <v>0</v>
      </c>
      <c r="N4" s="8">
        <v>1</v>
      </c>
      <c r="O4" s="8">
        <v>0</v>
      </c>
      <c r="P4" s="8">
        <v>0</v>
      </c>
      <c r="Q4" s="8">
        <v>1</v>
      </c>
      <c r="R4" s="8">
        <v>0</v>
      </c>
      <c r="S4" s="8">
        <v>0</v>
      </c>
      <c r="T4" s="8">
        <f t="shared" si="0"/>
        <v>4</v>
      </c>
    </row>
    <row r="5" spans="1:20" x14ac:dyDescent="0.4">
      <c r="A5" s="2" t="s">
        <v>86</v>
      </c>
      <c r="B5" s="9" t="s">
        <v>1</v>
      </c>
      <c r="C5">
        <v>1</v>
      </c>
      <c r="E5" s="1">
        <v>45012</v>
      </c>
      <c r="F5" s="1"/>
      <c r="H5" s="8">
        <v>0</v>
      </c>
      <c r="I5" s="8">
        <v>0</v>
      </c>
      <c r="J5" s="8">
        <v>0</v>
      </c>
      <c r="K5" s="8">
        <v>1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1</v>
      </c>
      <c r="R5" s="8">
        <v>0</v>
      </c>
      <c r="S5" s="8">
        <v>0</v>
      </c>
      <c r="T5" s="8">
        <f t="shared" si="0"/>
        <v>2</v>
      </c>
    </row>
    <row r="6" spans="1:20" x14ac:dyDescent="0.4">
      <c r="A6" s="2" t="s">
        <v>95</v>
      </c>
      <c r="B6" s="9" t="s">
        <v>2</v>
      </c>
      <c r="C6">
        <v>1</v>
      </c>
      <c r="E6" s="1">
        <v>44840</v>
      </c>
      <c r="F6" s="1"/>
      <c r="H6" s="8">
        <v>1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1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f t="shared" si="0"/>
        <v>2</v>
      </c>
    </row>
    <row r="7" spans="1:20" x14ac:dyDescent="0.4">
      <c r="A7" s="2" t="s">
        <v>87</v>
      </c>
      <c r="B7" s="9" t="s">
        <v>32</v>
      </c>
      <c r="C7">
        <v>1</v>
      </c>
      <c r="E7" s="1">
        <v>44648</v>
      </c>
      <c r="F7" s="1"/>
      <c r="H7" s="8">
        <v>0</v>
      </c>
      <c r="I7" s="8">
        <v>0</v>
      </c>
      <c r="J7" s="8">
        <v>0</v>
      </c>
      <c r="K7" s="8">
        <v>0</v>
      </c>
      <c r="L7" s="8">
        <v>1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1</v>
      </c>
      <c r="S7" s="8">
        <v>0</v>
      </c>
      <c r="T7" s="8">
        <f t="shared" si="0"/>
        <v>2</v>
      </c>
    </row>
    <row r="8" spans="1:20" x14ac:dyDescent="0.4">
      <c r="A8" s="2" t="s">
        <v>33</v>
      </c>
      <c r="B8" s="9" t="s">
        <v>3</v>
      </c>
      <c r="C8">
        <v>0</v>
      </c>
      <c r="D8" t="s">
        <v>26</v>
      </c>
      <c r="E8" s="1">
        <v>42635</v>
      </c>
      <c r="F8" s="1">
        <v>45803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1</v>
      </c>
      <c r="T8" s="8">
        <f t="shared" si="0"/>
        <v>1</v>
      </c>
    </row>
    <row r="9" spans="1:20" x14ac:dyDescent="0.4">
      <c r="A9" s="2" t="s">
        <v>34</v>
      </c>
      <c r="B9" s="9" t="s">
        <v>4</v>
      </c>
      <c r="C9">
        <v>1</v>
      </c>
      <c r="E9" s="1">
        <v>40939</v>
      </c>
      <c r="F9" s="1"/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1</v>
      </c>
      <c r="T9" s="8">
        <f t="shared" si="0"/>
        <v>1</v>
      </c>
    </row>
    <row r="10" spans="1:20" x14ac:dyDescent="0.4">
      <c r="A10" s="2" t="s">
        <v>35</v>
      </c>
      <c r="B10" s="9" t="s">
        <v>5</v>
      </c>
      <c r="C10">
        <v>0</v>
      </c>
      <c r="D10" t="s">
        <v>27</v>
      </c>
      <c r="E10" s="1">
        <v>40738</v>
      </c>
      <c r="F10" s="1">
        <v>45889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1</v>
      </c>
      <c r="T10" s="8">
        <f t="shared" si="0"/>
        <v>1</v>
      </c>
    </row>
    <row r="11" spans="1:20" x14ac:dyDescent="0.4">
      <c r="A11" s="2" t="s">
        <v>62</v>
      </c>
      <c r="B11" s="9" t="s">
        <v>29</v>
      </c>
      <c r="C11">
        <v>1</v>
      </c>
      <c r="E11" s="1">
        <v>44712</v>
      </c>
      <c r="F11" s="1"/>
      <c r="H11" s="8">
        <v>0</v>
      </c>
      <c r="I11" s="8">
        <v>0</v>
      </c>
      <c r="J11" s="8">
        <v>1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1</v>
      </c>
      <c r="Q11" s="8">
        <v>0</v>
      </c>
      <c r="R11" s="8">
        <v>0</v>
      </c>
      <c r="S11" s="8">
        <v>0</v>
      </c>
      <c r="T11" s="8">
        <f t="shared" si="0"/>
        <v>2</v>
      </c>
    </row>
    <row r="12" spans="1:20" x14ac:dyDescent="0.4">
      <c r="A12" s="2" t="s">
        <v>36</v>
      </c>
      <c r="B12" s="9" t="s">
        <v>6</v>
      </c>
      <c r="C12">
        <v>1</v>
      </c>
      <c r="E12" s="1">
        <v>44540</v>
      </c>
      <c r="F12" s="1"/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1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1</v>
      </c>
      <c r="T12" s="8">
        <f t="shared" si="0"/>
        <v>2</v>
      </c>
    </row>
    <row r="13" spans="1:20" x14ac:dyDescent="0.4">
      <c r="A13" s="2" t="s">
        <v>96</v>
      </c>
      <c r="B13" s="9" t="s">
        <v>63</v>
      </c>
      <c r="C13">
        <v>1</v>
      </c>
      <c r="E13" s="1">
        <v>44533</v>
      </c>
      <c r="F13" s="1"/>
      <c r="H13" s="8">
        <v>0</v>
      </c>
      <c r="I13" s="8">
        <v>0</v>
      </c>
      <c r="J13" s="8">
        <v>1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1</v>
      </c>
      <c r="Q13" s="8">
        <v>0</v>
      </c>
      <c r="R13" s="8">
        <v>0</v>
      </c>
      <c r="S13" s="8">
        <v>0</v>
      </c>
      <c r="T13" s="8">
        <f t="shared" si="0"/>
        <v>2</v>
      </c>
    </row>
    <row r="14" spans="1:20" x14ac:dyDescent="0.4">
      <c r="A14" s="2" t="s">
        <v>66</v>
      </c>
      <c r="B14" s="9" t="s">
        <v>65</v>
      </c>
      <c r="C14">
        <v>1</v>
      </c>
      <c r="E14" s="1">
        <v>44518</v>
      </c>
      <c r="F14" s="1"/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1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1</v>
      </c>
      <c r="T14" s="8">
        <f t="shared" si="0"/>
        <v>2</v>
      </c>
    </row>
    <row r="15" spans="1:20" x14ac:dyDescent="0.4">
      <c r="A15" s="2" t="s">
        <v>97</v>
      </c>
      <c r="B15" s="9" t="s">
        <v>7</v>
      </c>
      <c r="C15">
        <v>1</v>
      </c>
      <c r="E15" s="1">
        <v>44453</v>
      </c>
      <c r="F15" s="1"/>
      <c r="H15" s="8">
        <v>0</v>
      </c>
      <c r="I15" s="8">
        <v>0</v>
      </c>
      <c r="J15" s="8">
        <v>1</v>
      </c>
      <c r="K15" s="8">
        <v>0</v>
      </c>
      <c r="L15" s="8">
        <v>0</v>
      </c>
      <c r="M15" s="8">
        <v>1</v>
      </c>
      <c r="N15" s="8">
        <v>0</v>
      </c>
      <c r="O15" s="8">
        <v>0</v>
      </c>
      <c r="P15" s="8">
        <v>1</v>
      </c>
      <c r="Q15" s="8">
        <v>0</v>
      </c>
      <c r="R15" s="8">
        <v>0</v>
      </c>
      <c r="S15" s="8">
        <v>1</v>
      </c>
      <c r="T15" s="8">
        <f t="shared" si="0"/>
        <v>4</v>
      </c>
    </row>
    <row r="16" spans="1:20" x14ac:dyDescent="0.4">
      <c r="A16" s="2" t="s">
        <v>98</v>
      </c>
      <c r="B16" s="9" t="s">
        <v>8</v>
      </c>
      <c r="C16">
        <v>1</v>
      </c>
      <c r="E16" s="1">
        <v>44435</v>
      </c>
      <c r="F16" s="1"/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</v>
      </c>
      <c r="Q16" s="8">
        <v>0</v>
      </c>
      <c r="R16" s="8">
        <v>0</v>
      </c>
      <c r="S16" s="8">
        <v>0</v>
      </c>
      <c r="T16" s="8">
        <f t="shared" si="0"/>
        <v>2</v>
      </c>
    </row>
    <row r="17" spans="1:20" x14ac:dyDescent="0.4">
      <c r="A17" s="2" t="s">
        <v>99</v>
      </c>
      <c r="B17" s="9" t="s">
        <v>9</v>
      </c>
      <c r="C17">
        <v>1</v>
      </c>
      <c r="E17" s="1">
        <v>44188</v>
      </c>
      <c r="F17" s="1"/>
      <c r="H17" s="8">
        <v>0</v>
      </c>
      <c r="I17" s="8">
        <v>0</v>
      </c>
      <c r="J17" s="8">
        <v>0</v>
      </c>
      <c r="K17" s="8">
        <v>0</v>
      </c>
      <c r="L17" s="8">
        <v>1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1</v>
      </c>
      <c r="S17" s="8">
        <v>0</v>
      </c>
      <c r="T17" s="8">
        <f t="shared" si="0"/>
        <v>2</v>
      </c>
    </row>
    <row r="18" spans="1:20" x14ac:dyDescent="0.4">
      <c r="A18" s="2" t="s">
        <v>100</v>
      </c>
      <c r="B18" s="9" t="s">
        <v>10</v>
      </c>
      <c r="C18">
        <v>1</v>
      </c>
      <c r="E18" s="1">
        <v>44074</v>
      </c>
      <c r="F18" s="1"/>
      <c r="H18" s="8">
        <v>0</v>
      </c>
      <c r="I18" s="8">
        <v>0</v>
      </c>
      <c r="J18" s="8">
        <v>0</v>
      </c>
      <c r="K18" s="8">
        <v>0</v>
      </c>
      <c r="L18" s="8">
        <v>1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1</v>
      </c>
      <c r="S18" s="8">
        <v>0</v>
      </c>
      <c r="T18" s="8">
        <f t="shared" si="0"/>
        <v>2</v>
      </c>
    </row>
    <row r="19" spans="1:20" x14ac:dyDescent="0.4">
      <c r="A19" s="2" t="s">
        <v>37</v>
      </c>
      <c r="B19" s="9" t="s">
        <v>67</v>
      </c>
      <c r="C19">
        <v>1</v>
      </c>
      <c r="E19" s="1">
        <v>44050</v>
      </c>
      <c r="F19" s="1"/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1</v>
      </c>
      <c r="T19" s="8">
        <f t="shared" si="0"/>
        <v>2</v>
      </c>
    </row>
    <row r="20" spans="1:20" x14ac:dyDescent="0.4">
      <c r="A20" s="2" t="s">
        <v>101</v>
      </c>
      <c r="B20" s="9" t="s">
        <v>11</v>
      </c>
      <c r="C20">
        <v>1</v>
      </c>
      <c r="E20" s="1">
        <v>44048</v>
      </c>
      <c r="F20" s="1"/>
      <c r="H20" s="8">
        <v>0</v>
      </c>
      <c r="I20" s="8">
        <v>0</v>
      </c>
      <c r="J20" s="8">
        <v>0</v>
      </c>
      <c r="K20" s="8">
        <v>0</v>
      </c>
      <c r="L20" s="8">
        <v>1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1</v>
      </c>
      <c r="S20" s="8">
        <v>0</v>
      </c>
      <c r="T20" s="8">
        <f t="shared" si="0"/>
        <v>2</v>
      </c>
    </row>
    <row r="21" spans="1:20" x14ac:dyDescent="0.4">
      <c r="A21" s="2" t="s">
        <v>38</v>
      </c>
      <c r="B21" s="9" t="s">
        <v>12</v>
      </c>
      <c r="C21">
        <v>1</v>
      </c>
      <c r="E21" s="1">
        <v>44048</v>
      </c>
      <c r="F21" s="1"/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1</v>
      </c>
      <c r="T21" s="8">
        <f t="shared" si="0"/>
        <v>2</v>
      </c>
    </row>
    <row r="22" spans="1:20" x14ac:dyDescent="0.4">
      <c r="A22" s="2" t="s">
        <v>93</v>
      </c>
      <c r="B22" s="9" t="s">
        <v>92</v>
      </c>
      <c r="C22">
        <v>1</v>
      </c>
      <c r="E22" s="1">
        <v>44028</v>
      </c>
      <c r="F22" s="1"/>
      <c r="H22" s="8">
        <v>0</v>
      </c>
      <c r="I22" s="8">
        <v>1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f t="shared" si="0"/>
        <v>2</v>
      </c>
    </row>
    <row r="23" spans="1:20" x14ac:dyDescent="0.4">
      <c r="A23" s="2" t="s">
        <v>84</v>
      </c>
      <c r="B23" s="9" t="s">
        <v>13</v>
      </c>
      <c r="C23">
        <v>1</v>
      </c>
      <c r="E23" s="1">
        <v>43804</v>
      </c>
      <c r="F23" s="1"/>
      <c r="G23">
        <v>0</v>
      </c>
      <c r="H23" s="8">
        <v>0</v>
      </c>
      <c r="I23" s="8">
        <v>0</v>
      </c>
      <c r="J23" s="8">
        <v>0</v>
      </c>
      <c r="K23" s="8">
        <v>0</v>
      </c>
      <c r="L23" s="8">
        <v>1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1</v>
      </c>
      <c r="S23" s="8">
        <v>0</v>
      </c>
      <c r="T23" s="8">
        <f t="shared" si="0"/>
        <v>2</v>
      </c>
    </row>
    <row r="24" spans="1:20" x14ac:dyDescent="0.4">
      <c r="A24" s="2" t="s">
        <v>39</v>
      </c>
      <c r="B24" s="9" t="s">
        <v>14</v>
      </c>
      <c r="C24">
        <v>1</v>
      </c>
      <c r="E24" s="1">
        <v>43768</v>
      </c>
      <c r="F24" s="1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</v>
      </c>
      <c r="T24" s="8">
        <f t="shared" si="0"/>
        <v>2</v>
      </c>
    </row>
    <row r="25" spans="1:20" x14ac:dyDescent="0.4">
      <c r="A25" s="2" t="s">
        <v>40</v>
      </c>
      <c r="B25" s="9" t="s">
        <v>15</v>
      </c>
      <c r="C25">
        <v>1</v>
      </c>
      <c r="E25" s="1">
        <v>43320</v>
      </c>
      <c r="F25" s="1"/>
      <c r="H25" s="8">
        <v>0</v>
      </c>
      <c r="I25" s="8">
        <v>0</v>
      </c>
      <c r="J25" s="8">
        <v>1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1</v>
      </c>
      <c r="Q25" s="8">
        <v>0</v>
      </c>
      <c r="R25" s="8">
        <v>0</v>
      </c>
      <c r="S25" s="8">
        <v>0</v>
      </c>
      <c r="T25" s="8">
        <f t="shared" si="0"/>
        <v>2</v>
      </c>
    </row>
    <row r="26" spans="1:20" x14ac:dyDescent="0.4">
      <c r="A26" s="2" t="s">
        <v>166</v>
      </c>
      <c r="B26" s="8" t="s">
        <v>16</v>
      </c>
      <c r="C26">
        <v>1</v>
      </c>
      <c r="E26" s="1">
        <v>43278</v>
      </c>
      <c r="F26" s="1"/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</v>
      </c>
      <c r="T26" s="8">
        <f t="shared" si="0"/>
        <v>2</v>
      </c>
    </row>
    <row r="27" spans="1:20" x14ac:dyDescent="0.4">
      <c r="A27" s="2" t="s">
        <v>42</v>
      </c>
      <c r="B27" s="9" t="s">
        <v>21</v>
      </c>
      <c r="C27">
        <v>0</v>
      </c>
      <c r="D27" t="s">
        <v>26</v>
      </c>
      <c r="E27" s="1">
        <v>40430</v>
      </c>
      <c r="F27" s="1">
        <v>40718</v>
      </c>
    </row>
    <row r="28" spans="1:20" x14ac:dyDescent="0.4">
      <c r="A28" s="2" t="s">
        <v>47</v>
      </c>
      <c r="B28" s="9" t="s">
        <v>22</v>
      </c>
      <c r="C28">
        <v>0</v>
      </c>
      <c r="D28" t="s">
        <v>26</v>
      </c>
      <c r="E28" s="1">
        <v>40301</v>
      </c>
      <c r="F28" s="1">
        <v>41892</v>
      </c>
    </row>
    <row r="29" spans="1:20" x14ac:dyDescent="0.4">
      <c r="A29" s="2" t="s">
        <v>43</v>
      </c>
      <c r="B29" s="9" t="s">
        <v>23</v>
      </c>
      <c r="C29">
        <v>0</v>
      </c>
      <c r="D29" t="s">
        <v>26</v>
      </c>
      <c r="E29" s="1">
        <v>41815</v>
      </c>
      <c r="F29" s="1">
        <v>41940</v>
      </c>
    </row>
    <row r="30" spans="1:20" x14ac:dyDescent="0.4">
      <c r="A30" s="2" t="s">
        <v>44</v>
      </c>
      <c r="B30" s="9" t="s">
        <v>31</v>
      </c>
      <c r="C30">
        <v>0</v>
      </c>
      <c r="D30" t="s">
        <v>27</v>
      </c>
      <c r="E30" s="1">
        <v>40612</v>
      </c>
      <c r="F30" s="1">
        <v>42065</v>
      </c>
    </row>
    <row r="31" spans="1:20" x14ac:dyDescent="0.4">
      <c r="A31" s="2" t="s">
        <v>45</v>
      </c>
      <c r="B31" s="9" t="s">
        <v>24</v>
      </c>
      <c r="C31">
        <v>0</v>
      </c>
      <c r="D31" t="s">
        <v>48</v>
      </c>
      <c r="E31" s="1">
        <v>40816</v>
      </c>
      <c r="F31" s="1">
        <v>43161</v>
      </c>
    </row>
    <row r="32" spans="1:20" x14ac:dyDescent="0.4">
      <c r="A32" s="2" t="s">
        <v>46</v>
      </c>
      <c r="B32" s="9" t="s">
        <v>28</v>
      </c>
      <c r="C32">
        <v>0</v>
      </c>
      <c r="D32" t="s">
        <v>27</v>
      </c>
      <c r="E32" s="1">
        <v>41072</v>
      </c>
      <c r="F32" s="1">
        <v>42024</v>
      </c>
    </row>
    <row r="33" spans="2:5" x14ac:dyDescent="0.4">
      <c r="B33" s="9"/>
      <c r="E33" s="1"/>
    </row>
    <row r="34" spans="2:5" x14ac:dyDescent="0.4">
      <c r="B34" s="9"/>
    </row>
    <row r="35" spans="2:5" x14ac:dyDescent="0.4">
      <c r="B35" s="9"/>
    </row>
    <row r="36" spans="2:5" x14ac:dyDescent="0.4">
      <c r="B36" s="9"/>
    </row>
    <row r="37" spans="2:5" x14ac:dyDescent="0.4">
      <c r="B37" s="8" t="s">
        <v>142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8196-880E-4B62-B320-D57854523825}">
  <dimension ref="A1:R195"/>
  <sheetViews>
    <sheetView tabSelected="1" zoomScale="85" zoomScaleNormal="85" workbookViewId="0">
      <pane ySplit="1" topLeftCell="A19" activePane="bottomLeft" state="frozen"/>
      <selection pane="bottomLeft" activeCell="C31" sqref="C31"/>
    </sheetView>
  </sheetViews>
  <sheetFormatPr defaultColWidth="8.59765625" defaultRowHeight="9.6" x14ac:dyDescent="0.2"/>
  <cols>
    <col min="1" max="2" width="10.59765625" style="4" customWidth="1"/>
    <col min="3" max="3" width="10.59765625" style="50" customWidth="1"/>
    <col min="4" max="4" width="16.59765625" style="5" customWidth="1"/>
    <col min="5" max="5" width="16.8984375" style="5" bestFit="1" customWidth="1"/>
    <col min="6" max="6" width="21.296875" style="5" bestFit="1" customWidth="1"/>
    <col min="7" max="7" width="20.296875" style="5" bestFit="1" customWidth="1"/>
    <col min="8" max="8" width="22.69921875" style="5" bestFit="1" customWidth="1"/>
    <col min="9" max="9" width="8.69921875" style="5" customWidth="1"/>
    <col min="10" max="10" width="16.8984375" style="5" bestFit="1" customWidth="1"/>
    <col min="11" max="11" width="17.296875" style="5" bestFit="1" customWidth="1"/>
    <col min="12" max="12" width="17.69921875" style="33" customWidth="1"/>
    <col min="13" max="13" width="17.69921875" style="38" customWidth="1"/>
    <col min="14" max="14" width="10.59765625" style="4" customWidth="1"/>
    <col min="15" max="15" width="68.69921875" style="6" customWidth="1"/>
    <col min="16" max="16" width="16.59765625" style="5" bestFit="1" customWidth="1"/>
    <col min="17" max="17" width="15.8984375" style="5" customWidth="1"/>
    <col min="18" max="16384" width="8.59765625" style="3"/>
  </cols>
  <sheetData>
    <row r="1" spans="1:17" ht="18" thickBot="1" x14ac:dyDescent="0.45">
      <c r="A1" s="10" t="s">
        <v>50</v>
      </c>
      <c r="B1" s="10" t="s">
        <v>88</v>
      </c>
      <c r="C1" s="42" t="s">
        <v>58</v>
      </c>
      <c r="D1" s="12" t="s">
        <v>51</v>
      </c>
      <c r="E1" s="12" t="s">
        <v>52</v>
      </c>
      <c r="F1" s="12" t="s">
        <v>53</v>
      </c>
      <c r="G1" s="12" t="s">
        <v>56</v>
      </c>
      <c r="H1" s="12" t="s">
        <v>54</v>
      </c>
      <c r="I1" s="12" t="s">
        <v>57</v>
      </c>
      <c r="J1" s="12" t="s">
        <v>89</v>
      </c>
      <c r="K1" s="12" t="s">
        <v>90</v>
      </c>
      <c r="L1" s="29" t="s">
        <v>85</v>
      </c>
      <c r="M1" s="34"/>
      <c r="N1" s="10" t="s">
        <v>58</v>
      </c>
      <c r="O1" s="39"/>
      <c r="P1" s="12" t="s">
        <v>55</v>
      </c>
      <c r="Q1" s="12" t="s">
        <v>64</v>
      </c>
    </row>
    <row r="2" spans="1:17" s="16" customFormat="1" ht="17.399999999999999" x14ac:dyDescent="0.4">
      <c r="A2" s="13">
        <v>2011</v>
      </c>
      <c r="B2" s="14">
        <v>10</v>
      </c>
      <c r="C2" s="43">
        <v>140890</v>
      </c>
      <c r="D2" s="15">
        <v>630798649</v>
      </c>
      <c r="E2" s="15">
        <v>688755522</v>
      </c>
      <c r="F2" s="15"/>
      <c r="G2" s="15"/>
      <c r="H2" s="15"/>
      <c r="I2" s="15"/>
      <c r="J2" s="15"/>
      <c r="K2" s="15"/>
      <c r="L2" s="30">
        <f>D2+E2-F2+G2-H2+I2-J2+K2</f>
        <v>1319554171</v>
      </c>
      <c r="M2" s="35"/>
      <c r="N2" s="14">
        <v>140890</v>
      </c>
      <c r="O2" s="40"/>
      <c r="P2" s="15">
        <v>1279000000</v>
      </c>
      <c r="Q2" s="15">
        <v>132</v>
      </c>
    </row>
    <row r="3" spans="1:17" ht="17.399999999999999" x14ac:dyDescent="0.4">
      <c r="A3" s="17">
        <v>2012</v>
      </c>
      <c r="B3" s="10">
        <v>4</v>
      </c>
      <c r="C3" s="44">
        <v>140890</v>
      </c>
      <c r="D3" s="18">
        <v>881246303</v>
      </c>
      <c r="E3" s="18">
        <v>688755522</v>
      </c>
      <c r="F3" s="18"/>
      <c r="G3" s="18"/>
      <c r="H3" s="18"/>
      <c r="I3" s="18"/>
      <c r="J3" s="18"/>
      <c r="K3" s="18"/>
      <c r="L3" s="31">
        <f t="shared" ref="L3:L63" si="0">D3+E3-F3+G3-H3+I3-J3+K3</f>
        <v>1570001825</v>
      </c>
      <c r="M3" s="36">
        <f>L3/L2-1</f>
        <v>0.18979717506421334</v>
      </c>
      <c r="N3" s="10">
        <v>140890</v>
      </c>
      <c r="O3" s="39"/>
      <c r="P3" s="18">
        <v>1529000000</v>
      </c>
      <c r="Q3" s="18">
        <v>157</v>
      </c>
    </row>
    <row r="4" spans="1:17" ht="17.399999999999999" x14ac:dyDescent="0.4">
      <c r="A4" s="17">
        <v>2012</v>
      </c>
      <c r="B4" s="10">
        <v>10</v>
      </c>
      <c r="C4" s="44">
        <v>140890</v>
      </c>
      <c r="D4" s="18">
        <v>620039259</v>
      </c>
      <c r="E4" s="18">
        <v>688755522</v>
      </c>
      <c r="F4" s="18"/>
      <c r="G4" s="18"/>
      <c r="H4" s="18"/>
      <c r="I4" s="18"/>
      <c r="J4" s="18"/>
      <c r="K4" s="18"/>
      <c r="L4" s="31">
        <f t="shared" si="0"/>
        <v>1308794781</v>
      </c>
      <c r="M4" s="36">
        <f t="shared" ref="M4:M64" si="1">L4/L3-1</f>
        <v>-0.16637371997959305</v>
      </c>
      <c r="N4" s="10">
        <v>140890</v>
      </c>
      <c r="O4" s="39"/>
      <c r="P4" s="18">
        <v>1268000000</v>
      </c>
      <c r="Q4" s="18">
        <v>131</v>
      </c>
    </row>
    <row r="5" spans="1:17" ht="17.399999999999999" x14ac:dyDescent="0.4">
      <c r="A5" s="17">
        <v>2013</v>
      </c>
      <c r="B5" s="10">
        <v>4</v>
      </c>
      <c r="C5" s="44">
        <v>140890</v>
      </c>
      <c r="D5" s="18">
        <v>879757773</v>
      </c>
      <c r="E5" s="18">
        <v>688755522</v>
      </c>
      <c r="F5" s="18"/>
      <c r="G5" s="18"/>
      <c r="H5" s="18"/>
      <c r="I5" s="18"/>
      <c r="J5" s="18"/>
      <c r="K5" s="18"/>
      <c r="L5" s="31">
        <f t="shared" si="0"/>
        <v>1568513295</v>
      </c>
      <c r="M5" s="36">
        <f t="shared" si="1"/>
        <v>0.19844097620985246</v>
      </c>
      <c r="N5" s="10">
        <v>140890</v>
      </c>
      <c r="O5" s="39"/>
      <c r="P5" s="18">
        <v>1528000000</v>
      </c>
      <c r="Q5" s="18">
        <v>158</v>
      </c>
    </row>
    <row r="6" spans="1:17" ht="17.399999999999999" x14ac:dyDescent="0.4">
      <c r="A6" s="17">
        <v>2013</v>
      </c>
      <c r="B6" s="10">
        <v>10</v>
      </c>
      <c r="C6" s="44">
        <v>140890</v>
      </c>
      <c r="D6" s="18">
        <v>955560173</v>
      </c>
      <c r="E6" s="18">
        <v>688755522</v>
      </c>
      <c r="F6" s="18"/>
      <c r="G6" s="18"/>
      <c r="H6" s="18"/>
      <c r="I6" s="18"/>
      <c r="J6" s="18"/>
      <c r="K6" s="18"/>
      <c r="L6" s="31">
        <f t="shared" si="0"/>
        <v>1644315695</v>
      </c>
      <c r="M6" s="36">
        <f t="shared" si="1"/>
        <v>4.8327547010049487E-2</v>
      </c>
      <c r="N6" s="10">
        <v>140890</v>
      </c>
      <c r="O6" s="39"/>
      <c r="P6" s="18">
        <v>1599000000</v>
      </c>
      <c r="Q6" s="18">
        <v>165</v>
      </c>
    </row>
    <row r="7" spans="1:17" ht="17.399999999999999" x14ac:dyDescent="0.4">
      <c r="A7" s="17">
        <v>2014</v>
      </c>
      <c r="B7" s="10">
        <v>4</v>
      </c>
      <c r="C7" s="44">
        <v>140890</v>
      </c>
      <c r="D7" s="18">
        <v>910448488</v>
      </c>
      <c r="E7" s="18">
        <v>688755522</v>
      </c>
      <c r="F7" s="18"/>
      <c r="G7" s="18"/>
      <c r="H7" s="18"/>
      <c r="I7" s="18"/>
      <c r="J7" s="18"/>
      <c r="K7" s="18"/>
      <c r="L7" s="31">
        <f t="shared" si="0"/>
        <v>1599204010</v>
      </c>
      <c r="M7" s="36">
        <f t="shared" si="1"/>
        <v>-2.7434929397788133E-2</v>
      </c>
      <c r="N7" s="10">
        <v>140890</v>
      </c>
      <c r="O7" s="39"/>
      <c r="P7" s="18">
        <v>1558000000</v>
      </c>
      <c r="Q7" s="18">
        <v>161</v>
      </c>
    </row>
    <row r="8" spans="1:17" ht="17.399999999999999" x14ac:dyDescent="0.4">
      <c r="A8" s="17">
        <v>2014</v>
      </c>
      <c r="B8" s="10">
        <v>10</v>
      </c>
      <c r="C8" s="44">
        <v>140890</v>
      </c>
      <c r="D8" s="18">
        <v>967847758</v>
      </c>
      <c r="E8" s="18">
        <v>688755522</v>
      </c>
      <c r="F8" s="18"/>
      <c r="G8" s="18"/>
      <c r="H8" s="18"/>
      <c r="I8" s="18"/>
      <c r="J8" s="18"/>
      <c r="K8" s="18"/>
      <c r="L8" s="31">
        <f t="shared" si="0"/>
        <v>1656603280</v>
      </c>
      <c r="M8" s="36">
        <f t="shared" si="1"/>
        <v>3.5892399994669866E-2</v>
      </c>
      <c r="N8" s="10">
        <v>140890</v>
      </c>
      <c r="O8" s="39"/>
      <c r="P8" s="18">
        <v>1656000000</v>
      </c>
      <c r="Q8" s="18">
        <v>171</v>
      </c>
    </row>
    <row r="9" spans="1:17" ht="17.399999999999999" x14ac:dyDescent="0.4">
      <c r="A9" s="17">
        <v>2015</v>
      </c>
      <c r="B9" s="10">
        <v>4</v>
      </c>
      <c r="C9" s="44">
        <v>140890</v>
      </c>
      <c r="D9" s="18">
        <v>918669441</v>
      </c>
      <c r="E9" s="18">
        <v>688755522</v>
      </c>
      <c r="F9" s="18"/>
      <c r="G9" s="18"/>
      <c r="H9" s="18"/>
      <c r="I9" s="18"/>
      <c r="J9" s="18"/>
      <c r="K9" s="18"/>
      <c r="L9" s="31">
        <f t="shared" si="0"/>
        <v>1607424963</v>
      </c>
      <c r="M9" s="36">
        <f t="shared" si="1"/>
        <v>-2.968623664683312E-2</v>
      </c>
      <c r="N9" s="10">
        <v>140890</v>
      </c>
      <c r="O9" s="39"/>
      <c r="P9" s="18">
        <v>1027000000</v>
      </c>
      <c r="Q9" s="18">
        <v>106</v>
      </c>
    </row>
    <row r="10" spans="1:17" ht="17.399999999999999" x14ac:dyDescent="0.4">
      <c r="A10" s="17">
        <v>2015</v>
      </c>
      <c r="B10" s="10">
        <v>10</v>
      </c>
      <c r="C10" s="44">
        <v>140890</v>
      </c>
      <c r="D10" s="18">
        <v>329455400</v>
      </c>
      <c r="E10" s="18">
        <v>688755522</v>
      </c>
      <c r="F10" s="18"/>
      <c r="G10" s="18"/>
      <c r="H10" s="18"/>
      <c r="I10" s="18"/>
      <c r="J10" s="18"/>
      <c r="K10" s="18"/>
      <c r="L10" s="31">
        <f t="shared" si="0"/>
        <v>1018210922</v>
      </c>
      <c r="M10" s="36">
        <f t="shared" si="1"/>
        <v>-0.36655772714909618</v>
      </c>
      <c r="N10" s="10">
        <v>140890</v>
      </c>
      <c r="O10" s="39"/>
      <c r="P10" s="18">
        <v>329000000</v>
      </c>
      <c r="Q10" s="18">
        <v>34</v>
      </c>
    </row>
    <row r="11" spans="1:17" ht="17.399999999999999" x14ac:dyDescent="0.4">
      <c r="A11" s="17">
        <v>2016</v>
      </c>
      <c r="B11" s="10">
        <v>4</v>
      </c>
      <c r="C11" s="44">
        <v>140890</v>
      </c>
      <c r="D11" s="18">
        <v>-533851594</v>
      </c>
      <c r="E11" s="18">
        <v>688755522</v>
      </c>
      <c r="F11" s="18"/>
      <c r="G11" s="18"/>
      <c r="H11" s="18"/>
      <c r="I11" s="18"/>
      <c r="J11" s="18"/>
      <c r="K11" s="18"/>
      <c r="L11" s="31">
        <f t="shared" si="0"/>
        <v>154903928</v>
      </c>
      <c r="M11" s="36">
        <f t="shared" si="1"/>
        <v>-0.84786656216991552</v>
      </c>
      <c r="N11" s="10">
        <v>140890</v>
      </c>
      <c r="O11" s="39"/>
      <c r="P11" s="18">
        <v>0</v>
      </c>
      <c r="Q11" s="18">
        <v>0</v>
      </c>
    </row>
    <row r="12" spans="1:17" ht="17.399999999999999" x14ac:dyDescent="0.4">
      <c r="A12" s="17">
        <v>2016</v>
      </c>
      <c r="B12" s="10">
        <v>10</v>
      </c>
      <c r="C12" s="44">
        <v>140890</v>
      </c>
      <c r="D12" s="18">
        <v>-126609801</v>
      </c>
      <c r="E12" s="18">
        <v>688755522</v>
      </c>
      <c r="F12" s="18"/>
      <c r="G12" s="18"/>
      <c r="H12" s="18"/>
      <c r="I12" s="18"/>
      <c r="J12" s="18"/>
      <c r="K12" s="18"/>
      <c r="L12" s="31">
        <f t="shared" si="0"/>
        <v>562145721</v>
      </c>
      <c r="M12" s="36">
        <f t="shared" si="1"/>
        <v>2.6289959089998027</v>
      </c>
      <c r="N12" s="10">
        <v>140890</v>
      </c>
      <c r="O12" s="39"/>
      <c r="P12" s="18">
        <v>0</v>
      </c>
      <c r="Q12" s="18">
        <v>0</v>
      </c>
    </row>
    <row r="13" spans="1:17" ht="17.399999999999999" x14ac:dyDescent="0.4">
      <c r="A13" s="17">
        <v>2017</v>
      </c>
      <c r="B13" s="10">
        <v>4</v>
      </c>
      <c r="C13" s="44">
        <v>140890</v>
      </c>
      <c r="D13" s="18">
        <v>104084697</v>
      </c>
      <c r="E13" s="18">
        <v>688755522</v>
      </c>
      <c r="F13" s="18"/>
      <c r="G13" s="18"/>
      <c r="H13" s="18"/>
      <c r="I13" s="18"/>
      <c r="J13" s="18"/>
      <c r="K13" s="18"/>
      <c r="L13" s="31">
        <f t="shared" si="0"/>
        <v>792840219</v>
      </c>
      <c r="M13" s="36">
        <f t="shared" si="1"/>
        <v>0.41038202263572865</v>
      </c>
      <c r="N13" s="10">
        <v>140890</v>
      </c>
      <c r="O13" s="39"/>
      <c r="P13" s="18">
        <v>0</v>
      </c>
      <c r="Q13" s="18">
        <v>0</v>
      </c>
    </row>
    <row r="14" spans="1:17" ht="17.399999999999999" x14ac:dyDescent="0.4">
      <c r="A14" s="17">
        <v>2017</v>
      </c>
      <c r="B14" s="10">
        <v>10</v>
      </c>
      <c r="C14" s="44">
        <v>140890</v>
      </c>
      <c r="D14" s="18">
        <v>253523619</v>
      </c>
      <c r="E14" s="18">
        <v>688755522</v>
      </c>
      <c r="F14" s="18"/>
      <c r="G14" s="18"/>
      <c r="H14" s="18"/>
      <c r="I14" s="18"/>
      <c r="J14" s="18"/>
      <c r="K14" s="18"/>
      <c r="L14" s="31">
        <f t="shared" si="0"/>
        <v>942279141</v>
      </c>
      <c r="M14" s="36">
        <f t="shared" si="1"/>
        <v>0.18848554654364724</v>
      </c>
      <c r="N14" s="10">
        <v>140890</v>
      </c>
      <c r="O14" s="39"/>
      <c r="P14" s="18">
        <v>0</v>
      </c>
      <c r="Q14" s="18">
        <v>0</v>
      </c>
    </row>
    <row r="15" spans="1:17" ht="17.399999999999999" x14ac:dyDescent="0.4">
      <c r="A15" s="17">
        <v>2018</v>
      </c>
      <c r="B15" s="10">
        <v>4</v>
      </c>
      <c r="C15" s="44">
        <v>140890</v>
      </c>
      <c r="D15" s="18">
        <v>-177185894</v>
      </c>
      <c r="E15" s="18">
        <v>688755522</v>
      </c>
      <c r="F15" s="18"/>
      <c r="G15" s="18"/>
      <c r="H15" s="18"/>
      <c r="I15" s="18"/>
      <c r="J15" s="18"/>
      <c r="K15" s="18"/>
      <c r="L15" s="31">
        <f t="shared" si="0"/>
        <v>511569628</v>
      </c>
      <c r="M15" s="36">
        <f t="shared" si="1"/>
        <v>-0.45709333281314779</v>
      </c>
      <c r="N15" s="10">
        <v>140890</v>
      </c>
      <c r="O15" s="39"/>
      <c r="P15" s="18">
        <v>0</v>
      </c>
      <c r="Q15" s="18">
        <v>0</v>
      </c>
    </row>
    <row r="16" spans="1:17" s="22" customFormat="1" ht="18" thickBot="1" x14ac:dyDescent="0.45">
      <c r="A16" s="19">
        <v>2018</v>
      </c>
      <c r="B16" s="20">
        <v>10</v>
      </c>
      <c r="C16" s="45">
        <v>140890</v>
      </c>
      <c r="D16" s="21">
        <v>226352080</v>
      </c>
      <c r="E16" s="21">
        <v>688755522</v>
      </c>
      <c r="F16" s="21"/>
      <c r="G16" s="21"/>
      <c r="H16" s="21"/>
      <c r="I16" s="21"/>
      <c r="J16" s="21"/>
      <c r="K16" s="21"/>
      <c r="L16" s="32">
        <f t="shared" si="0"/>
        <v>915107602</v>
      </c>
      <c r="M16" s="37">
        <f t="shared" si="1"/>
        <v>0.7888231668045782</v>
      </c>
      <c r="N16" s="20">
        <v>140890</v>
      </c>
      <c r="O16" s="41" t="s">
        <v>102</v>
      </c>
      <c r="P16" s="21">
        <v>0</v>
      </c>
      <c r="Q16" s="21">
        <v>0</v>
      </c>
    </row>
    <row r="17" spans="1:17" s="16" customFormat="1" ht="17.399999999999999" x14ac:dyDescent="0.4">
      <c r="A17" s="13">
        <v>2018</v>
      </c>
      <c r="B17" s="14">
        <v>9</v>
      </c>
      <c r="C17" s="46">
        <v>293940</v>
      </c>
      <c r="D17" s="15">
        <v>-4741510360</v>
      </c>
      <c r="E17" s="15">
        <v>1533481727</v>
      </c>
      <c r="F17" s="15"/>
      <c r="G17" s="15"/>
      <c r="H17" s="15"/>
      <c r="I17" s="15"/>
      <c r="J17" s="15"/>
      <c r="K17" s="15"/>
      <c r="L17" s="30">
        <f t="shared" si="0"/>
        <v>-3208028633</v>
      </c>
      <c r="M17" s="35">
        <f t="shared" si="1"/>
        <v>-4.5056299674363327</v>
      </c>
      <c r="N17" s="14">
        <v>293940</v>
      </c>
      <c r="O17" s="40"/>
      <c r="P17" s="15">
        <v>3757090909</v>
      </c>
      <c r="Q17" s="15">
        <v>74</v>
      </c>
    </row>
    <row r="18" spans="1:17" ht="17.399999999999999" x14ac:dyDescent="0.4">
      <c r="A18" s="17">
        <v>2019</v>
      </c>
      <c r="B18" s="10">
        <v>3</v>
      </c>
      <c r="C18" s="47">
        <v>293940</v>
      </c>
      <c r="D18" s="18">
        <v>5074884870</v>
      </c>
      <c r="E18" s="18">
        <v>3101844000</v>
      </c>
      <c r="F18" s="18"/>
      <c r="G18" s="18"/>
      <c r="H18" s="18"/>
      <c r="I18" s="18"/>
      <c r="J18" s="18"/>
      <c r="K18" s="18"/>
      <c r="L18" s="31">
        <f t="shared" si="0"/>
        <v>8176728870</v>
      </c>
      <c r="M18" s="36">
        <f t="shared" si="1"/>
        <v>-3.5488328831882967</v>
      </c>
      <c r="N18" s="10">
        <v>293940</v>
      </c>
      <c r="O18" s="39"/>
      <c r="P18" s="18">
        <v>8169000000</v>
      </c>
      <c r="Q18" s="18">
        <v>137</v>
      </c>
    </row>
    <row r="19" spans="1:17" ht="17.399999999999999" x14ac:dyDescent="0.4">
      <c r="A19" s="17">
        <v>2019</v>
      </c>
      <c r="B19" s="10">
        <v>9</v>
      </c>
      <c r="C19" s="47">
        <v>293940</v>
      </c>
      <c r="D19" s="18">
        <v>3017252127</v>
      </c>
      <c r="E19" s="18">
        <v>3115400000</v>
      </c>
      <c r="F19" s="18"/>
      <c r="G19" s="18"/>
      <c r="H19" s="18"/>
      <c r="I19" s="18"/>
      <c r="J19" s="18"/>
      <c r="K19" s="18"/>
      <c r="L19" s="31">
        <f t="shared" si="0"/>
        <v>6132652127</v>
      </c>
      <c r="M19" s="36">
        <f t="shared" si="1"/>
        <v>-0.24998710064847729</v>
      </c>
      <c r="N19" s="10">
        <v>293940</v>
      </c>
      <c r="O19" s="39"/>
      <c r="P19" s="18">
        <v>8324000000</v>
      </c>
      <c r="Q19" s="18">
        <v>140</v>
      </c>
    </row>
    <row r="20" spans="1:17" ht="17.399999999999999" x14ac:dyDescent="0.4">
      <c r="A20" s="17">
        <v>2020</v>
      </c>
      <c r="B20" s="10">
        <v>3</v>
      </c>
      <c r="C20" s="47">
        <v>293940</v>
      </c>
      <c r="D20" s="18">
        <v>5722267683</v>
      </c>
      <c r="E20" s="18">
        <v>3170973000</v>
      </c>
      <c r="F20" s="18"/>
      <c r="G20" s="18"/>
      <c r="H20" s="18"/>
      <c r="I20" s="18"/>
      <c r="J20" s="18"/>
      <c r="K20" s="18"/>
      <c r="L20" s="31">
        <f t="shared" si="0"/>
        <v>8893240683</v>
      </c>
      <c r="M20" s="36">
        <f t="shared" si="1"/>
        <v>0.45014595624070353</v>
      </c>
      <c r="N20" s="10">
        <v>293940</v>
      </c>
      <c r="O20" s="39"/>
      <c r="P20" s="18">
        <v>8797000000</v>
      </c>
      <c r="Q20" s="18">
        <v>150</v>
      </c>
    </row>
    <row r="21" spans="1:17" ht="17.399999999999999" x14ac:dyDescent="0.4">
      <c r="A21" s="17">
        <v>2020</v>
      </c>
      <c r="B21" s="10">
        <v>9</v>
      </c>
      <c r="C21" s="47">
        <v>293940</v>
      </c>
      <c r="D21" s="18">
        <v>2691556650</v>
      </c>
      <c r="E21" s="18">
        <v>3902637000</v>
      </c>
      <c r="F21" s="18"/>
      <c r="G21" s="18"/>
      <c r="H21" s="18"/>
      <c r="I21" s="18"/>
      <c r="J21" s="18"/>
      <c r="K21" s="18"/>
      <c r="L21" s="31">
        <f t="shared" si="0"/>
        <v>6594193650</v>
      </c>
      <c r="M21" s="36">
        <f t="shared" si="1"/>
        <v>-0.25851622765532212</v>
      </c>
      <c r="N21" s="10">
        <v>293940</v>
      </c>
      <c r="O21" s="39"/>
      <c r="P21" s="18">
        <v>9654000000</v>
      </c>
      <c r="Q21" s="18">
        <v>153</v>
      </c>
    </row>
    <row r="22" spans="1:17" ht="17.399999999999999" x14ac:dyDescent="0.4">
      <c r="A22" s="17">
        <v>2021</v>
      </c>
      <c r="B22" s="10">
        <v>3</v>
      </c>
      <c r="C22" s="47">
        <v>293940</v>
      </c>
      <c r="D22" s="18">
        <v>5808946292</v>
      </c>
      <c r="E22" s="18">
        <v>5314358000</v>
      </c>
      <c r="F22" s="18"/>
      <c r="G22" s="18"/>
      <c r="H22" s="18"/>
      <c r="I22" s="18"/>
      <c r="J22" s="18"/>
      <c r="K22" s="18"/>
      <c r="L22" s="31">
        <f t="shared" si="0"/>
        <v>11123304292</v>
      </c>
      <c r="M22" s="36">
        <f t="shared" si="1"/>
        <v>0.6868331265946368</v>
      </c>
      <c r="N22" s="10">
        <v>293940</v>
      </c>
      <c r="O22" s="39"/>
      <c r="P22" s="18">
        <v>10226000000</v>
      </c>
      <c r="Q22" s="18">
        <v>164</v>
      </c>
    </row>
    <row r="23" spans="1:17" ht="17.399999999999999" x14ac:dyDescent="0.4">
      <c r="A23" s="17">
        <v>2021</v>
      </c>
      <c r="B23" s="10">
        <v>9</v>
      </c>
      <c r="C23" s="47">
        <v>293940</v>
      </c>
      <c r="D23" s="18">
        <v>1712400473</v>
      </c>
      <c r="E23" s="18">
        <v>5608031000</v>
      </c>
      <c r="F23" s="18"/>
      <c r="G23" s="18"/>
      <c r="H23" s="18"/>
      <c r="I23" s="18"/>
      <c r="J23" s="18"/>
      <c r="K23" s="18"/>
      <c r="L23" s="31">
        <f t="shared" si="0"/>
        <v>7320431473</v>
      </c>
      <c r="M23" s="36">
        <f t="shared" si="1"/>
        <v>-0.34188337558427373</v>
      </c>
      <c r="N23" s="10">
        <v>293940</v>
      </c>
      <c r="O23" s="39" t="s">
        <v>103</v>
      </c>
      <c r="P23" s="18">
        <v>10918000000</v>
      </c>
      <c r="Q23" s="18">
        <v>177</v>
      </c>
    </row>
    <row r="24" spans="1:17" ht="17.399999999999999" x14ac:dyDescent="0.4">
      <c r="A24" s="17">
        <v>2022</v>
      </c>
      <c r="B24" s="10">
        <v>3</v>
      </c>
      <c r="C24" s="47">
        <v>293940</v>
      </c>
      <c r="D24" s="18">
        <v>4810675706</v>
      </c>
      <c r="E24" s="18">
        <v>6370565000</v>
      </c>
      <c r="F24" s="18"/>
      <c r="G24" s="18"/>
      <c r="H24" s="18"/>
      <c r="I24" s="18"/>
      <c r="J24" s="18"/>
      <c r="K24" s="18"/>
      <c r="L24" s="31">
        <f t="shared" si="0"/>
        <v>11181240706</v>
      </c>
      <c r="M24" s="36">
        <f t="shared" si="1"/>
        <v>0.52740186794178046</v>
      </c>
      <c r="N24" s="10">
        <v>293940</v>
      </c>
      <c r="O24" s="39"/>
      <c r="P24" s="18">
        <v>11712000000</v>
      </c>
      <c r="Q24" s="18">
        <v>192</v>
      </c>
    </row>
    <row r="25" spans="1:17" ht="17.399999999999999" x14ac:dyDescent="0.4">
      <c r="A25" s="17">
        <v>2022</v>
      </c>
      <c r="B25" s="10">
        <v>9</v>
      </c>
      <c r="C25" s="47">
        <v>293940</v>
      </c>
      <c r="D25" s="18">
        <v>4291483730</v>
      </c>
      <c r="E25" s="18">
        <v>6547768000</v>
      </c>
      <c r="F25" s="18"/>
      <c r="G25" s="18"/>
      <c r="H25" s="18"/>
      <c r="I25" s="18"/>
      <c r="J25" s="18"/>
      <c r="K25" s="18"/>
      <c r="L25" s="31">
        <f t="shared" si="0"/>
        <v>10839251730</v>
      </c>
      <c r="M25" s="36">
        <f t="shared" si="1"/>
        <v>-3.058595955424559E-2</v>
      </c>
      <c r="N25" s="10">
        <v>293940</v>
      </c>
      <c r="O25" s="39"/>
      <c r="P25" s="18">
        <v>16049000000</v>
      </c>
      <c r="Q25" s="18">
        <v>195</v>
      </c>
    </row>
    <row r="26" spans="1:17" ht="17.399999999999999" x14ac:dyDescent="0.4">
      <c r="A26" s="17">
        <v>2023</v>
      </c>
      <c r="B26" s="10">
        <v>3</v>
      </c>
      <c r="C26" s="47">
        <v>293940</v>
      </c>
      <c r="D26" s="18">
        <v>8571385794</v>
      </c>
      <c r="E26" s="18">
        <v>6567607000</v>
      </c>
      <c r="F26" s="18"/>
      <c r="G26" s="18"/>
      <c r="H26" s="18"/>
      <c r="I26" s="18"/>
      <c r="J26" s="18"/>
      <c r="K26" s="18"/>
      <c r="L26" s="31">
        <f t="shared" si="0"/>
        <v>15138992794</v>
      </c>
      <c r="M26" s="36">
        <f t="shared" si="1"/>
        <v>0.39668246213892489</v>
      </c>
      <c r="N26" s="10">
        <v>293940</v>
      </c>
      <c r="O26" s="39"/>
      <c r="P26" s="18">
        <v>15672000000</v>
      </c>
      <c r="Q26" s="18">
        <v>190</v>
      </c>
    </row>
    <row r="27" spans="1:17" ht="17.399999999999999" x14ac:dyDescent="0.4">
      <c r="A27" s="17">
        <v>2023</v>
      </c>
      <c r="B27" s="10">
        <v>9</v>
      </c>
      <c r="C27" s="47">
        <v>293940</v>
      </c>
      <c r="D27" s="18">
        <v>6900041199</v>
      </c>
      <c r="E27" s="18">
        <v>6360644000</v>
      </c>
      <c r="F27" s="18"/>
      <c r="G27" s="18"/>
      <c r="H27" s="18"/>
      <c r="I27" s="18"/>
      <c r="J27" s="18"/>
      <c r="K27" s="18"/>
      <c r="L27" s="31">
        <f t="shared" si="0"/>
        <v>13260685199</v>
      </c>
      <c r="M27" s="36">
        <f t="shared" si="1"/>
        <v>-0.12407084279374414</v>
      </c>
      <c r="N27" s="10">
        <v>293940</v>
      </c>
      <c r="O27" s="39"/>
      <c r="P27" s="18">
        <v>18039000000</v>
      </c>
      <c r="Q27" s="18">
        <v>186</v>
      </c>
    </row>
    <row r="28" spans="1:17" ht="17.399999999999999" x14ac:dyDescent="0.4">
      <c r="A28" s="17">
        <v>2024</v>
      </c>
      <c r="B28" s="10">
        <v>3</v>
      </c>
      <c r="C28" s="47">
        <v>293940</v>
      </c>
      <c r="D28" s="18">
        <v>7767742820</v>
      </c>
      <c r="E28" s="18">
        <v>6169328000</v>
      </c>
      <c r="F28" s="18"/>
      <c r="G28" s="18"/>
      <c r="H28" s="18"/>
      <c r="I28" s="18"/>
      <c r="J28" s="18"/>
      <c r="K28" s="18"/>
      <c r="L28" s="31">
        <f t="shared" si="0"/>
        <v>13937070820</v>
      </c>
      <c r="M28" s="36">
        <f t="shared" si="1"/>
        <v>5.1006837946127259E-2</v>
      </c>
      <c r="N28" s="10">
        <v>293940</v>
      </c>
      <c r="O28" s="39"/>
      <c r="P28" s="18">
        <v>58212000000</v>
      </c>
      <c r="Q28" s="18">
        <v>642</v>
      </c>
    </row>
    <row r="29" spans="1:17" ht="17.399999999999999" x14ac:dyDescent="0.4">
      <c r="A29" s="17">
        <v>2024</v>
      </c>
      <c r="B29" s="10">
        <v>9</v>
      </c>
      <c r="C29" s="47">
        <v>293940</v>
      </c>
      <c r="D29" s="18">
        <v>3115415132</v>
      </c>
      <c r="E29" s="18">
        <v>6572613000</v>
      </c>
      <c r="F29" s="18"/>
      <c r="G29" s="18"/>
      <c r="H29" s="18"/>
      <c r="I29" s="18">
        <v>230126000</v>
      </c>
      <c r="J29" s="18"/>
      <c r="K29" s="18"/>
      <c r="L29" s="31">
        <f t="shared" si="0"/>
        <v>9918154132</v>
      </c>
      <c r="M29" s="36">
        <f t="shared" si="1"/>
        <v>-0.28836164642521345</v>
      </c>
      <c r="N29" s="10">
        <v>293940</v>
      </c>
      <c r="O29" s="39" t="s">
        <v>104</v>
      </c>
      <c r="P29" s="18">
        <v>17070000000</v>
      </c>
      <c r="Q29" s="18">
        <v>175</v>
      </c>
    </row>
    <row r="30" spans="1:17" s="22" customFormat="1" ht="18" thickBot="1" x14ac:dyDescent="0.45">
      <c r="A30" s="19">
        <v>2025</v>
      </c>
      <c r="B30" s="20">
        <v>3</v>
      </c>
      <c r="C30" s="48">
        <v>293940</v>
      </c>
      <c r="D30" s="21">
        <v>9784917968</v>
      </c>
      <c r="E30" s="21">
        <v>7358198000</v>
      </c>
      <c r="F30" s="21"/>
      <c r="G30" s="21"/>
      <c r="H30" s="21"/>
      <c r="I30" s="21"/>
      <c r="J30" s="21"/>
      <c r="K30" s="21"/>
      <c r="L30" s="32">
        <f t="shared" si="0"/>
        <v>17143115968</v>
      </c>
      <c r="M30" s="37">
        <f t="shared" si="1"/>
        <v>0.72845831390029869</v>
      </c>
      <c r="N30" s="20">
        <v>293940</v>
      </c>
      <c r="O30" s="41"/>
      <c r="P30" s="21">
        <v>22567000000</v>
      </c>
      <c r="Q30" s="21">
        <v>173</v>
      </c>
    </row>
    <row r="31" spans="1:17" ht="17.399999999999999" x14ac:dyDescent="0.4">
      <c r="A31" s="17">
        <v>2019</v>
      </c>
      <c r="B31" s="10">
        <v>12</v>
      </c>
      <c r="C31" s="49">
        <v>330590</v>
      </c>
      <c r="D31" s="18">
        <v>10581368427</v>
      </c>
      <c r="E31" s="18">
        <v>6006502000</v>
      </c>
      <c r="F31" s="18">
        <v>0</v>
      </c>
      <c r="G31" s="18">
        <v>0</v>
      </c>
      <c r="H31" s="18"/>
      <c r="I31" s="18"/>
      <c r="J31" s="18"/>
      <c r="K31" s="18"/>
      <c r="L31" s="31">
        <f t="shared" si="0"/>
        <v>16587870427</v>
      </c>
      <c r="M31" s="34">
        <f t="shared" si="1"/>
        <v>-3.2388834214062578E-2</v>
      </c>
      <c r="N31" s="10">
        <v>330590</v>
      </c>
      <c r="O31" s="39"/>
      <c r="P31" s="18">
        <v>16588000000</v>
      </c>
      <c r="Q31" s="18">
        <v>96</v>
      </c>
    </row>
    <row r="32" spans="1:17" ht="17.399999999999999" x14ac:dyDescent="0.4">
      <c r="A32" s="17">
        <v>2020</v>
      </c>
      <c r="B32" s="10">
        <v>6</v>
      </c>
      <c r="C32" s="49">
        <v>330590</v>
      </c>
      <c r="D32" s="18">
        <v>15547730007</v>
      </c>
      <c r="E32" s="18">
        <v>12229863000</v>
      </c>
      <c r="F32" s="18">
        <v>0</v>
      </c>
      <c r="G32" s="18">
        <v>0</v>
      </c>
      <c r="H32" s="18"/>
      <c r="I32" s="18"/>
      <c r="J32" s="18"/>
      <c r="K32" s="18"/>
      <c r="L32" s="31">
        <f t="shared" si="0"/>
        <v>27777593007</v>
      </c>
      <c r="M32" s="36">
        <f t="shared" si="1"/>
        <v>0.67457258176954049</v>
      </c>
      <c r="N32" s="10">
        <v>330590</v>
      </c>
      <c r="O32" s="39"/>
      <c r="P32" s="18">
        <v>27778000000</v>
      </c>
      <c r="Q32" s="18">
        <v>161</v>
      </c>
    </row>
    <row r="33" spans="1:17" ht="17.399999999999999" x14ac:dyDescent="0.4">
      <c r="A33" s="17">
        <v>2020</v>
      </c>
      <c r="B33" s="10">
        <v>12</v>
      </c>
      <c r="C33" s="49">
        <v>330590</v>
      </c>
      <c r="D33" s="18">
        <v>15613436889</v>
      </c>
      <c r="E33" s="18">
        <v>12224577000</v>
      </c>
      <c r="F33" s="18">
        <v>0</v>
      </c>
      <c r="G33" s="18">
        <v>0</v>
      </c>
      <c r="H33" s="18"/>
      <c r="I33" s="18"/>
      <c r="J33" s="18"/>
      <c r="K33" s="18"/>
      <c r="L33" s="31">
        <f t="shared" si="0"/>
        <v>27838013889</v>
      </c>
      <c r="M33" s="36">
        <f t="shared" si="1"/>
        <v>2.1751662206574984E-3</v>
      </c>
      <c r="N33" s="10">
        <v>330590</v>
      </c>
      <c r="O33" s="39"/>
      <c r="P33" s="18">
        <v>27838000000</v>
      </c>
      <c r="Q33" s="18">
        <v>161</v>
      </c>
    </row>
    <row r="34" spans="1:17" ht="17.399999999999999" x14ac:dyDescent="0.4">
      <c r="A34" s="17">
        <v>2021</v>
      </c>
      <c r="B34" s="10">
        <v>6</v>
      </c>
      <c r="C34" s="49">
        <v>330590</v>
      </c>
      <c r="D34" s="18">
        <v>16978460612</v>
      </c>
      <c r="E34" s="18">
        <v>16978754000</v>
      </c>
      <c r="F34" s="18">
        <v>0</v>
      </c>
      <c r="G34" s="18">
        <v>0</v>
      </c>
      <c r="H34" s="18"/>
      <c r="I34" s="18"/>
      <c r="J34" s="18"/>
      <c r="K34" s="18"/>
      <c r="L34" s="31">
        <f t="shared" si="0"/>
        <v>33957214612</v>
      </c>
      <c r="M34" s="36">
        <f t="shared" si="1"/>
        <v>0.21981455815775575</v>
      </c>
      <c r="N34" s="10">
        <v>330590</v>
      </c>
      <c r="O34" s="39"/>
      <c r="P34" s="18">
        <v>33957000000</v>
      </c>
      <c r="Q34" s="18">
        <v>139</v>
      </c>
    </row>
    <row r="35" spans="1:17" ht="17.399999999999999" x14ac:dyDescent="0.4">
      <c r="A35" s="17">
        <v>2021</v>
      </c>
      <c r="B35" s="10">
        <v>12</v>
      </c>
      <c r="C35" s="49">
        <v>330590</v>
      </c>
      <c r="D35" s="18">
        <v>18405981757</v>
      </c>
      <c r="E35" s="18">
        <v>20402327000</v>
      </c>
      <c r="F35" s="18">
        <v>0</v>
      </c>
      <c r="G35" s="18">
        <v>0</v>
      </c>
      <c r="H35" s="18"/>
      <c r="I35" s="18"/>
      <c r="J35" s="18"/>
      <c r="K35" s="18"/>
      <c r="L35" s="31">
        <f t="shared" si="0"/>
        <v>38808308757</v>
      </c>
      <c r="M35" s="36">
        <f t="shared" si="1"/>
        <v>0.14285901244932186</v>
      </c>
      <c r="N35" s="10">
        <v>330590</v>
      </c>
      <c r="O35" s="39"/>
      <c r="P35" s="18">
        <v>38808000000</v>
      </c>
      <c r="Q35" s="18">
        <v>159</v>
      </c>
    </row>
    <row r="36" spans="1:17" ht="17.399999999999999" x14ac:dyDescent="0.4">
      <c r="A36" s="17">
        <v>2022</v>
      </c>
      <c r="B36" s="10">
        <v>6</v>
      </c>
      <c r="C36" s="49">
        <v>330590</v>
      </c>
      <c r="D36" s="18">
        <v>19028588290</v>
      </c>
      <c r="E36" s="18">
        <v>20662515000</v>
      </c>
      <c r="F36" s="18">
        <v>0</v>
      </c>
      <c r="G36" s="18">
        <v>0</v>
      </c>
      <c r="H36" s="18"/>
      <c r="I36" s="18"/>
      <c r="J36" s="18"/>
      <c r="K36" s="18"/>
      <c r="L36" s="31">
        <f t="shared" si="0"/>
        <v>39691103290</v>
      </c>
      <c r="M36" s="36">
        <f t="shared" si="1"/>
        <v>2.2747565180633256E-2</v>
      </c>
      <c r="N36" s="10">
        <v>330590</v>
      </c>
      <c r="O36" s="39"/>
      <c r="P36" s="18">
        <v>39691000000</v>
      </c>
      <c r="Q36" s="18">
        <v>163</v>
      </c>
    </row>
    <row r="37" spans="1:17" ht="17.399999999999999" x14ac:dyDescent="0.4">
      <c r="A37" s="17">
        <v>2022</v>
      </c>
      <c r="B37" s="10">
        <v>12</v>
      </c>
      <c r="C37" s="49">
        <v>330590</v>
      </c>
      <c r="D37" s="18">
        <v>14114824803</v>
      </c>
      <c r="E37" s="18">
        <v>20662515000</v>
      </c>
      <c r="F37" s="18">
        <v>0</v>
      </c>
      <c r="G37" s="18">
        <v>0</v>
      </c>
      <c r="H37" s="18"/>
      <c r="I37" s="18"/>
      <c r="J37" s="18"/>
      <c r="K37" s="18"/>
      <c r="L37" s="31">
        <f t="shared" si="0"/>
        <v>34777339803</v>
      </c>
      <c r="M37" s="36">
        <f t="shared" si="1"/>
        <v>-0.12380012344574964</v>
      </c>
      <c r="N37" s="10">
        <v>330590</v>
      </c>
      <c r="O37" s="39"/>
      <c r="P37" s="18">
        <v>34777000000</v>
      </c>
      <c r="Q37" s="18">
        <v>143</v>
      </c>
    </row>
    <row r="38" spans="1:17" ht="17.399999999999999" x14ac:dyDescent="0.4">
      <c r="A38" s="17">
        <v>2023</v>
      </c>
      <c r="B38" s="10">
        <v>6</v>
      </c>
      <c r="C38" s="49">
        <v>330590</v>
      </c>
      <c r="D38" s="18">
        <v>5865520288</v>
      </c>
      <c r="E38" s="18">
        <v>20662515000</v>
      </c>
      <c r="F38" s="18">
        <v>0</v>
      </c>
      <c r="G38" s="18">
        <v>0</v>
      </c>
      <c r="H38" s="18"/>
      <c r="I38" s="18"/>
      <c r="J38" s="18"/>
      <c r="K38" s="18"/>
      <c r="L38" s="31">
        <f t="shared" si="0"/>
        <v>26528035288</v>
      </c>
      <c r="M38" s="36">
        <f t="shared" si="1"/>
        <v>-0.23720343654026088</v>
      </c>
      <c r="N38" s="10">
        <v>330590</v>
      </c>
      <c r="O38" s="39" t="s">
        <v>104</v>
      </c>
      <c r="P38" s="18">
        <v>26528000000</v>
      </c>
      <c r="Q38" s="18">
        <v>109</v>
      </c>
    </row>
    <row r="39" spans="1:17" ht="17.399999999999999" x14ac:dyDescent="0.4">
      <c r="A39" s="17">
        <v>2023</v>
      </c>
      <c r="B39" s="10">
        <v>12</v>
      </c>
      <c r="C39" s="49">
        <v>330590</v>
      </c>
      <c r="D39" s="18">
        <v>3177878339</v>
      </c>
      <c r="E39" s="18">
        <v>20056320000</v>
      </c>
      <c r="F39" s="18">
        <v>0</v>
      </c>
      <c r="G39" s="18">
        <v>0</v>
      </c>
      <c r="H39" s="18"/>
      <c r="I39" s="18"/>
      <c r="J39" s="18"/>
      <c r="K39" s="18"/>
      <c r="L39" s="31">
        <f t="shared" si="0"/>
        <v>23234198339</v>
      </c>
      <c r="M39" s="36">
        <f t="shared" si="1"/>
        <v>-0.12416437603616926</v>
      </c>
      <c r="N39" s="10">
        <v>330590</v>
      </c>
      <c r="O39" s="39"/>
      <c r="P39" s="18">
        <v>23234000000</v>
      </c>
      <c r="Q39" s="18">
        <v>95</v>
      </c>
    </row>
    <row r="40" spans="1:17" ht="17.399999999999999" x14ac:dyDescent="0.4">
      <c r="A40" s="17">
        <v>2024</v>
      </c>
      <c r="B40" s="10">
        <v>6</v>
      </c>
      <c r="C40" s="49">
        <v>330590</v>
      </c>
      <c r="D40" s="18">
        <v>5841464604</v>
      </c>
      <c r="E40" s="18">
        <v>19226790000</v>
      </c>
      <c r="F40" s="18">
        <v>0</v>
      </c>
      <c r="G40" s="18">
        <v>0</v>
      </c>
      <c r="H40" s="18"/>
      <c r="I40" s="18"/>
      <c r="J40" s="18"/>
      <c r="K40" s="18"/>
      <c r="L40" s="31">
        <f t="shared" si="0"/>
        <v>25068254604</v>
      </c>
      <c r="M40" s="36">
        <f t="shared" si="1"/>
        <v>7.8937789814827575E-2</v>
      </c>
      <c r="N40" s="10">
        <v>330590</v>
      </c>
      <c r="O40" s="39" t="s">
        <v>105</v>
      </c>
      <c r="P40" s="18">
        <v>25026000000</v>
      </c>
      <c r="Q40" s="18">
        <v>103</v>
      </c>
    </row>
    <row r="41" spans="1:17" ht="17.399999999999999" x14ac:dyDescent="0.4">
      <c r="A41" s="17">
        <v>2024</v>
      </c>
      <c r="B41" s="10">
        <v>12</v>
      </c>
      <c r="C41" s="49">
        <v>330590</v>
      </c>
      <c r="D41" s="18">
        <v>10613567528</v>
      </c>
      <c r="E41" s="18">
        <v>19597700000</v>
      </c>
      <c r="F41" s="18">
        <v>0</v>
      </c>
      <c r="G41" s="18">
        <v>0</v>
      </c>
      <c r="H41" s="18"/>
      <c r="I41" s="18"/>
      <c r="J41" s="18"/>
      <c r="K41" s="18"/>
      <c r="L41" s="31">
        <f t="shared" si="0"/>
        <v>30211267528</v>
      </c>
      <c r="M41" s="36">
        <f t="shared" si="1"/>
        <v>0.20516039130938779</v>
      </c>
      <c r="N41" s="10">
        <v>330590</v>
      </c>
      <c r="O41" s="39" t="s">
        <v>106</v>
      </c>
      <c r="P41" s="18">
        <v>32365000000</v>
      </c>
      <c r="Q41" s="18">
        <v>112</v>
      </c>
    </row>
    <row r="42" spans="1:17" s="22" customFormat="1" ht="18" thickBot="1" x14ac:dyDescent="0.45">
      <c r="A42" s="19">
        <v>2025</v>
      </c>
      <c r="B42" s="20">
        <v>6</v>
      </c>
      <c r="C42" s="48">
        <v>330590</v>
      </c>
      <c r="D42" s="21">
        <v>16546765792</v>
      </c>
      <c r="E42" s="21">
        <v>19645368000</v>
      </c>
      <c r="F42" s="21">
        <v>0</v>
      </c>
      <c r="G42" s="21">
        <v>0</v>
      </c>
      <c r="H42" s="21"/>
      <c r="I42" s="21"/>
      <c r="J42" s="21"/>
      <c r="K42" s="21"/>
      <c r="L42" s="32">
        <f t="shared" si="0"/>
        <v>36192133792</v>
      </c>
      <c r="M42" s="37">
        <f t="shared" si="1"/>
        <v>0.19796806798843813</v>
      </c>
      <c r="N42" s="20">
        <v>330590</v>
      </c>
      <c r="O42" s="41"/>
      <c r="P42" s="21">
        <v>33809000000</v>
      </c>
      <c r="Q42" s="21">
        <v>117</v>
      </c>
    </row>
    <row r="43" spans="1:17" ht="17.399999999999999" x14ac:dyDescent="0.4">
      <c r="A43" s="10">
        <v>2020</v>
      </c>
      <c r="B43" s="10">
        <v>8</v>
      </c>
      <c r="C43" s="49">
        <v>334890</v>
      </c>
      <c r="D43" s="12">
        <v>20524310609</v>
      </c>
      <c r="E43" s="12">
        <v>0</v>
      </c>
      <c r="F43" s="12">
        <v>0</v>
      </c>
      <c r="G43" s="12">
        <v>0</v>
      </c>
      <c r="H43" s="12">
        <v>19723110000</v>
      </c>
      <c r="I43" s="12">
        <v>0</v>
      </c>
      <c r="J43" s="12"/>
      <c r="K43" s="12"/>
      <c r="L43" s="29">
        <f t="shared" si="0"/>
        <v>801200609</v>
      </c>
      <c r="M43" s="34">
        <f t="shared" si="1"/>
        <v>-0.97786257606129046</v>
      </c>
      <c r="N43" s="10">
        <v>334890</v>
      </c>
      <c r="O43" s="39"/>
      <c r="P43" s="12">
        <v>872944262.29508209</v>
      </c>
      <c r="Q43" s="12">
        <v>36.196721311475414</v>
      </c>
    </row>
    <row r="44" spans="1:17" ht="17.399999999999999" x14ac:dyDescent="0.4">
      <c r="A44" s="10">
        <v>2021</v>
      </c>
      <c r="B44" s="10">
        <v>2</v>
      </c>
      <c r="C44" s="49">
        <v>334890</v>
      </c>
      <c r="D44" s="12">
        <v>2744775190</v>
      </c>
      <c r="E44" s="12">
        <v>0</v>
      </c>
      <c r="F44" s="12">
        <v>0</v>
      </c>
      <c r="G44" s="12">
        <v>0</v>
      </c>
      <c r="H44" s="12">
        <v>0</v>
      </c>
      <c r="I44" s="12">
        <v>901072000</v>
      </c>
      <c r="J44" s="12"/>
      <c r="K44" s="12"/>
      <c r="L44" s="29">
        <f t="shared" si="0"/>
        <v>3645847190</v>
      </c>
      <c r="M44" s="34">
        <f t="shared" si="1"/>
        <v>3.550479803741637</v>
      </c>
      <c r="N44" s="10">
        <v>334890</v>
      </c>
      <c r="O44" s="39"/>
      <c r="P44" s="12">
        <v>3624000000</v>
      </c>
      <c r="Q44" s="12">
        <v>151</v>
      </c>
    </row>
    <row r="45" spans="1:17" ht="17.399999999999999" x14ac:dyDescent="0.4">
      <c r="A45" s="10">
        <v>2021</v>
      </c>
      <c r="B45" s="10">
        <v>8</v>
      </c>
      <c r="C45" s="49">
        <v>334890</v>
      </c>
      <c r="D45" s="12">
        <v>22252694832</v>
      </c>
      <c r="E45" s="12">
        <v>0</v>
      </c>
      <c r="F45" s="12">
        <v>0</v>
      </c>
      <c r="G45" s="12">
        <v>0</v>
      </c>
      <c r="H45" s="12">
        <v>19499832000</v>
      </c>
      <c r="I45" s="12">
        <v>0</v>
      </c>
      <c r="J45" s="12"/>
      <c r="K45" s="12"/>
      <c r="L45" s="29">
        <f t="shared" si="0"/>
        <v>2752862832</v>
      </c>
      <c r="M45" s="34">
        <f t="shared" si="1"/>
        <v>-0.24493192157074473</v>
      </c>
      <c r="N45" s="10">
        <v>334890</v>
      </c>
      <c r="O45" s="39"/>
      <c r="P45" s="12">
        <v>3648000000</v>
      </c>
      <c r="Q45" s="12">
        <v>152</v>
      </c>
    </row>
    <row r="46" spans="1:17" ht="17.399999999999999" x14ac:dyDescent="0.4">
      <c r="A46" s="10">
        <v>2022</v>
      </c>
      <c r="B46" s="10">
        <v>2</v>
      </c>
      <c r="C46" s="49">
        <v>334890</v>
      </c>
      <c r="D46" s="12">
        <v>4971321940</v>
      </c>
      <c r="E46" s="12">
        <v>0</v>
      </c>
      <c r="F46" s="12">
        <v>0</v>
      </c>
      <c r="G46" s="12">
        <v>0</v>
      </c>
      <c r="H46" s="12">
        <f>3083751000+642374000</f>
        <v>3726125000</v>
      </c>
      <c r="I46" s="12">
        <v>614676000</v>
      </c>
      <c r="J46" s="12"/>
      <c r="K46" s="12"/>
      <c r="L46" s="29">
        <f t="shared" si="0"/>
        <v>1859872940</v>
      </c>
      <c r="M46" s="34">
        <f t="shared" si="1"/>
        <v>-0.32438590169464721</v>
      </c>
      <c r="N46" s="10">
        <v>334890</v>
      </c>
      <c r="O46" s="39"/>
      <c r="P46" s="12">
        <v>4693000000</v>
      </c>
      <c r="Q46" s="12">
        <v>152</v>
      </c>
    </row>
    <row r="47" spans="1:17" ht="17.399999999999999" x14ac:dyDescent="0.4">
      <c r="A47" s="10">
        <v>2022</v>
      </c>
      <c r="B47" s="10">
        <v>8</v>
      </c>
      <c r="C47" s="49">
        <v>334890</v>
      </c>
      <c r="D47" s="12">
        <v>45007641766</v>
      </c>
      <c r="E47" s="12">
        <v>0</v>
      </c>
      <c r="F47" s="12">
        <v>0</v>
      </c>
      <c r="G47" s="12">
        <v>0</v>
      </c>
      <c r="H47" s="12">
        <v>41912838000</v>
      </c>
      <c r="I47" s="12">
        <v>1905787</v>
      </c>
      <c r="J47" s="12"/>
      <c r="K47" s="12"/>
      <c r="L47" s="29">
        <f t="shared" si="0"/>
        <v>3096709553</v>
      </c>
      <c r="M47" s="34">
        <f t="shared" si="1"/>
        <v>0.66501134910861159</v>
      </c>
      <c r="N47" s="10">
        <v>334890</v>
      </c>
      <c r="O47" s="39"/>
      <c r="P47" s="12">
        <v>5585000000</v>
      </c>
      <c r="Q47" s="12">
        <v>152</v>
      </c>
    </row>
    <row r="48" spans="1:17" ht="17.399999999999999" x14ac:dyDescent="0.4">
      <c r="A48" s="10">
        <v>2023</v>
      </c>
      <c r="B48" s="10">
        <v>2</v>
      </c>
      <c r="C48" s="49">
        <v>334890</v>
      </c>
      <c r="D48" s="12">
        <v>31673918022</v>
      </c>
      <c r="E48" s="12">
        <v>0</v>
      </c>
      <c r="F48" s="12">
        <v>0</v>
      </c>
      <c r="G48" s="12">
        <v>0</v>
      </c>
      <c r="H48" s="12">
        <v>34071853000</v>
      </c>
      <c r="I48" s="12">
        <v>9783788000</v>
      </c>
      <c r="J48" s="12"/>
      <c r="K48" s="12"/>
      <c r="L48" s="29">
        <f t="shared" si="0"/>
        <v>7385853022</v>
      </c>
      <c r="M48" s="34">
        <f t="shared" si="1"/>
        <v>1.3850648230295945</v>
      </c>
      <c r="N48" s="10">
        <v>334890</v>
      </c>
      <c r="O48" s="39" t="s">
        <v>107</v>
      </c>
      <c r="P48" s="12">
        <v>7823000000</v>
      </c>
      <c r="Q48" s="12">
        <v>213</v>
      </c>
    </row>
    <row r="49" spans="1:17" ht="17.399999999999999" x14ac:dyDescent="0.4">
      <c r="A49" s="10">
        <v>2023</v>
      </c>
      <c r="B49" s="10">
        <v>8</v>
      </c>
      <c r="C49" s="49">
        <v>334890</v>
      </c>
      <c r="D49" s="12">
        <v>34239363620</v>
      </c>
      <c r="E49" s="12">
        <v>0</v>
      </c>
      <c r="F49" s="12">
        <v>0</v>
      </c>
      <c r="G49" s="12">
        <v>0</v>
      </c>
      <c r="H49" s="12">
        <v>39032735000</v>
      </c>
      <c r="I49" s="12">
        <v>12113652000</v>
      </c>
      <c r="J49" s="12"/>
      <c r="K49" s="12"/>
      <c r="L49" s="29">
        <f t="shared" si="0"/>
        <v>7320280620</v>
      </c>
      <c r="M49" s="34">
        <f t="shared" si="1"/>
        <v>-8.8781081622775204E-3</v>
      </c>
      <c r="N49" s="10">
        <v>334890</v>
      </c>
      <c r="O49" s="39" t="s">
        <v>109</v>
      </c>
      <c r="P49" s="12">
        <v>10339000000</v>
      </c>
      <c r="Q49" s="12">
        <v>201</v>
      </c>
    </row>
    <row r="50" spans="1:17" ht="17.399999999999999" x14ac:dyDescent="0.4">
      <c r="A50" s="10">
        <v>2024</v>
      </c>
      <c r="B50" s="10">
        <v>2</v>
      </c>
      <c r="C50" s="49">
        <v>334890</v>
      </c>
      <c r="D50" s="12">
        <v>29482591484</v>
      </c>
      <c r="E50" s="12">
        <v>0</v>
      </c>
      <c r="F50" s="12">
        <v>0</v>
      </c>
      <c r="G50" s="12">
        <v>0</v>
      </c>
      <c r="H50" s="12">
        <v>32510422000</v>
      </c>
      <c r="I50" s="12">
        <f>6165234000+146024000</f>
        <v>6311258000</v>
      </c>
      <c r="J50" s="12"/>
      <c r="K50" s="12"/>
      <c r="L50" s="29">
        <f t="shared" si="0"/>
        <v>3283427484</v>
      </c>
      <c r="M50" s="34">
        <f t="shared" si="1"/>
        <v>-0.55146152798716064</v>
      </c>
      <c r="N50" s="10">
        <v>334890</v>
      </c>
      <c r="O50" s="39" t="s">
        <v>110</v>
      </c>
      <c r="P50" s="12">
        <v>10839000000</v>
      </c>
      <c r="Q50" s="12">
        <v>211</v>
      </c>
    </row>
    <row r="51" spans="1:17" ht="17.399999999999999" x14ac:dyDescent="0.4">
      <c r="A51" s="10">
        <v>2024</v>
      </c>
      <c r="B51" s="10">
        <v>8</v>
      </c>
      <c r="C51" s="49">
        <v>334890</v>
      </c>
      <c r="D51" s="12">
        <v>-2312328925</v>
      </c>
      <c r="E51" s="12">
        <v>0</v>
      </c>
      <c r="F51" s="12">
        <v>0</v>
      </c>
      <c r="G51" s="12">
        <v>1790067000</v>
      </c>
      <c r="H51" s="12">
        <v>2745452000</v>
      </c>
      <c r="I51" s="12">
        <f>4419665000+239402000+239402000</f>
        <v>4898469000</v>
      </c>
      <c r="J51" s="12"/>
      <c r="K51" s="12">
        <f>2898595000</f>
        <v>2898595000</v>
      </c>
      <c r="L51" s="29">
        <f t="shared" si="0"/>
        <v>4529350075</v>
      </c>
      <c r="M51" s="34">
        <f t="shared" si="1"/>
        <v>0.37945792836032677</v>
      </c>
      <c r="N51" s="10">
        <v>334890</v>
      </c>
      <c r="O51" s="39" t="s">
        <v>108</v>
      </c>
      <c r="P51" s="12">
        <v>31480000000</v>
      </c>
      <c r="Q51" s="12">
        <v>612</v>
      </c>
    </row>
    <row r="52" spans="1:17" ht="18" thickBot="1" x14ac:dyDescent="0.45">
      <c r="A52" s="10">
        <v>2025</v>
      </c>
      <c r="B52" s="10">
        <v>2</v>
      </c>
      <c r="C52" s="49">
        <v>334890</v>
      </c>
      <c r="D52" s="12">
        <v>-2064498917</v>
      </c>
      <c r="E52" s="12">
        <v>0</v>
      </c>
      <c r="F52" s="12">
        <v>0</v>
      </c>
      <c r="G52" s="12">
        <v>0</v>
      </c>
      <c r="H52" s="12">
        <v>1942516000</v>
      </c>
      <c r="I52" s="12">
        <f>1113367000+11024222000</f>
        <v>12137589000</v>
      </c>
      <c r="J52" s="12">
        <v>58547405</v>
      </c>
      <c r="K52" s="12"/>
      <c r="L52" s="29">
        <f t="shared" si="0"/>
        <v>8072026678</v>
      </c>
      <c r="M52" s="34">
        <f t="shared" si="1"/>
        <v>0.78216003275039414</v>
      </c>
      <c r="N52" s="10">
        <v>334890</v>
      </c>
      <c r="O52" s="39" t="s">
        <v>111</v>
      </c>
      <c r="P52" s="12">
        <v>8891000000</v>
      </c>
      <c r="Q52" s="12">
        <v>173</v>
      </c>
    </row>
    <row r="53" spans="1:17" s="16" customFormat="1" ht="17.399999999999999" x14ac:dyDescent="0.4">
      <c r="A53" s="13">
        <v>2019</v>
      </c>
      <c r="B53" s="14">
        <v>11</v>
      </c>
      <c r="C53" s="46">
        <v>338100</v>
      </c>
      <c r="D53" s="15">
        <v>-1671751947</v>
      </c>
      <c r="E53" s="15"/>
      <c r="F53" s="15"/>
      <c r="G53" s="15"/>
      <c r="H53" s="15"/>
      <c r="I53" s="15"/>
      <c r="J53" s="15"/>
      <c r="K53" s="15"/>
      <c r="L53" s="30">
        <f t="shared" si="0"/>
        <v>-1671751947</v>
      </c>
      <c r="M53" s="35">
        <f t="shared" si="1"/>
        <v>-1.2071043634625609</v>
      </c>
      <c r="N53" s="14">
        <v>338100</v>
      </c>
      <c r="O53" s="40"/>
      <c r="P53" s="15">
        <v>0</v>
      </c>
      <c r="Q53" s="15">
        <v>0</v>
      </c>
    </row>
    <row r="54" spans="1:17" ht="17.399999999999999" x14ac:dyDescent="0.4">
      <c r="A54" s="17">
        <v>2020</v>
      </c>
      <c r="B54" s="10">
        <v>5</v>
      </c>
      <c r="C54" s="49">
        <v>338100</v>
      </c>
      <c r="D54" s="18">
        <v>2499803195</v>
      </c>
      <c r="E54" s="18"/>
      <c r="F54" s="18"/>
      <c r="G54" s="18"/>
      <c r="H54" s="18">
        <v>125645539</v>
      </c>
      <c r="I54" s="18"/>
      <c r="J54" s="18"/>
      <c r="K54" s="18"/>
      <c r="L54" s="31">
        <f t="shared" si="0"/>
        <v>2374157656</v>
      </c>
      <c r="M54" s="36">
        <f t="shared" si="1"/>
        <v>-2.4201614421687885</v>
      </c>
      <c r="N54" s="10">
        <v>338100</v>
      </c>
      <c r="O54" s="39"/>
      <c r="P54" s="18">
        <v>2370000000</v>
      </c>
      <c r="Q54" s="18">
        <v>127</v>
      </c>
    </row>
    <row r="55" spans="1:17" ht="17.399999999999999" x14ac:dyDescent="0.4">
      <c r="A55" s="17">
        <v>2020</v>
      </c>
      <c r="B55" s="10">
        <v>11</v>
      </c>
      <c r="C55" s="49">
        <v>338100</v>
      </c>
      <c r="D55" s="18">
        <v>2731823824</v>
      </c>
      <c r="E55" s="18"/>
      <c r="F55" s="18"/>
      <c r="G55" s="18"/>
      <c r="H55" s="18">
        <v>513520564</v>
      </c>
      <c r="I55" s="18"/>
      <c r="J55" s="18"/>
      <c r="K55" s="18"/>
      <c r="L55" s="31">
        <f t="shared" si="0"/>
        <v>2218303260</v>
      </c>
      <c r="M55" s="36">
        <f t="shared" si="1"/>
        <v>-6.5646186387884886E-2</v>
      </c>
      <c r="N55" s="10">
        <v>338100</v>
      </c>
      <c r="O55" s="39"/>
      <c r="P55" s="18">
        <v>2221000000</v>
      </c>
      <c r="Q55" s="18">
        <v>119</v>
      </c>
    </row>
    <row r="56" spans="1:17" ht="17.399999999999999" x14ac:dyDescent="0.4">
      <c r="A56" s="17">
        <v>2021</v>
      </c>
      <c r="B56" s="10">
        <v>5</v>
      </c>
      <c r="C56" s="49">
        <v>338100</v>
      </c>
      <c r="D56" s="18">
        <v>2006501716</v>
      </c>
      <c r="E56" s="18"/>
      <c r="F56" s="18"/>
      <c r="G56" s="18"/>
      <c r="H56" s="18">
        <v>88154684</v>
      </c>
      <c r="I56" s="18">
        <v>416078616</v>
      </c>
      <c r="J56" s="18"/>
      <c r="K56" s="18"/>
      <c r="L56" s="31">
        <f t="shared" si="0"/>
        <v>2334425648</v>
      </c>
      <c r="M56" s="36">
        <f t="shared" si="1"/>
        <v>5.2347390951406725E-2</v>
      </c>
      <c r="N56" s="10">
        <v>338100</v>
      </c>
      <c r="O56" s="39"/>
      <c r="P56" s="18">
        <v>2333000000</v>
      </c>
      <c r="Q56" s="18">
        <v>125</v>
      </c>
    </row>
    <row r="57" spans="1:17" ht="17.399999999999999" x14ac:dyDescent="0.4">
      <c r="A57" s="17">
        <v>2021</v>
      </c>
      <c r="B57" s="10">
        <v>11</v>
      </c>
      <c r="C57" s="49">
        <v>338100</v>
      </c>
      <c r="D57" s="18">
        <v>3874286268</v>
      </c>
      <c r="E57" s="18"/>
      <c r="F57" s="18"/>
      <c r="G57" s="18"/>
      <c r="H57" s="18">
        <v>1569675494</v>
      </c>
      <c r="I57" s="18"/>
      <c r="J57" s="18"/>
      <c r="K57" s="18"/>
      <c r="L57" s="31">
        <f t="shared" si="0"/>
        <v>2304610774</v>
      </c>
      <c r="M57" s="36">
        <f t="shared" si="1"/>
        <v>-1.277182420675671E-2</v>
      </c>
      <c r="N57" s="10">
        <v>338100</v>
      </c>
      <c r="O57" s="39"/>
      <c r="P57" s="18">
        <v>2295000000</v>
      </c>
      <c r="Q57" s="18">
        <v>123</v>
      </c>
    </row>
    <row r="58" spans="1:17" ht="17.399999999999999" x14ac:dyDescent="0.4">
      <c r="A58" s="17">
        <v>2022</v>
      </c>
      <c r="B58" s="10">
        <v>5</v>
      </c>
      <c r="C58" s="49">
        <v>338100</v>
      </c>
      <c r="D58" s="18">
        <v>2318916515</v>
      </c>
      <c r="E58" s="18"/>
      <c r="F58" s="18"/>
      <c r="G58" s="18"/>
      <c r="H58" s="18">
        <v>269954430</v>
      </c>
      <c r="I58" s="18">
        <v>10926930</v>
      </c>
      <c r="J58" s="18"/>
      <c r="K58" s="18"/>
      <c r="L58" s="31">
        <f t="shared" si="0"/>
        <v>2059889015</v>
      </c>
      <c r="M58" s="36">
        <f t="shared" si="1"/>
        <v>-0.10618789157843278</v>
      </c>
      <c r="N58" s="10">
        <v>338100</v>
      </c>
      <c r="O58" s="39" t="s">
        <v>112</v>
      </c>
      <c r="P58" s="18">
        <v>2052000000</v>
      </c>
      <c r="Q58" s="18">
        <v>110</v>
      </c>
    </row>
    <row r="59" spans="1:17" ht="17.399999999999999" x14ac:dyDescent="0.4">
      <c r="A59" s="17">
        <v>2022</v>
      </c>
      <c r="B59" s="10">
        <v>11</v>
      </c>
      <c r="C59" s="49">
        <v>338100</v>
      </c>
      <c r="D59" s="18">
        <v>7352917541</v>
      </c>
      <c r="E59" s="18"/>
      <c r="F59" s="18"/>
      <c r="G59" s="18"/>
      <c r="H59" s="18">
        <v>5201135587</v>
      </c>
      <c r="I59" s="18"/>
      <c r="J59" s="18"/>
      <c r="K59" s="18"/>
      <c r="L59" s="31">
        <f t="shared" si="0"/>
        <v>2151781954</v>
      </c>
      <c r="M59" s="36">
        <f t="shared" si="1"/>
        <v>4.4610626267163278E-2</v>
      </c>
      <c r="N59" s="10">
        <v>338100</v>
      </c>
      <c r="O59" s="39"/>
      <c r="P59" s="18">
        <v>2146000000</v>
      </c>
      <c r="Q59" s="18">
        <v>115</v>
      </c>
    </row>
    <row r="60" spans="1:17" ht="17.399999999999999" x14ac:dyDescent="0.4">
      <c r="A60" s="17">
        <v>2023</v>
      </c>
      <c r="B60" s="10">
        <v>5</v>
      </c>
      <c r="C60" s="49">
        <v>338100</v>
      </c>
      <c r="D60" s="18">
        <v>2527719241</v>
      </c>
      <c r="E60" s="18"/>
      <c r="F60" s="18"/>
      <c r="G60" s="18"/>
      <c r="H60" s="18">
        <v>190147145</v>
      </c>
      <c r="I60" s="18">
        <v>81529828</v>
      </c>
      <c r="J60" s="18"/>
      <c r="K60" s="18"/>
      <c r="L60" s="31">
        <f>D60+E60-F60+G60-H60+I60-J60+K60</f>
        <v>2419101924</v>
      </c>
      <c r="M60" s="36">
        <f t="shared" si="1"/>
        <v>0.12423190440047716</v>
      </c>
      <c r="N60" s="10">
        <v>338100</v>
      </c>
      <c r="O60" s="39"/>
      <c r="P60" s="18">
        <v>2444000000</v>
      </c>
      <c r="Q60" s="18">
        <v>131</v>
      </c>
    </row>
    <row r="61" spans="1:17" ht="17.399999999999999" x14ac:dyDescent="0.4">
      <c r="A61" s="17">
        <v>2023</v>
      </c>
      <c r="B61" s="10">
        <v>11</v>
      </c>
      <c r="C61" s="49">
        <v>338100</v>
      </c>
      <c r="D61" s="18">
        <v>12780163155</v>
      </c>
      <c r="E61" s="18"/>
      <c r="F61" s="18">
        <v>2710791204</v>
      </c>
      <c r="G61" s="18"/>
      <c r="H61" s="18">
        <v>9462059116</v>
      </c>
      <c r="I61" s="18"/>
      <c r="J61" s="18"/>
      <c r="K61" s="18">
        <f>(1541872-180344)*1000+1473969468</f>
        <v>2835497468</v>
      </c>
      <c r="L61" s="31">
        <f>D61+E61-F61+G61-H61+I61-J61+K61</f>
        <v>3442810303</v>
      </c>
      <c r="M61" s="36">
        <f t="shared" si="1"/>
        <v>0.42317703476804813</v>
      </c>
      <c r="N61" s="10">
        <v>338100</v>
      </c>
      <c r="O61" s="39" t="s">
        <v>114</v>
      </c>
      <c r="P61" s="18">
        <v>7464000000</v>
      </c>
      <c r="Q61" s="18">
        <v>400</v>
      </c>
    </row>
    <row r="62" spans="1:17" ht="17.399999999999999" x14ac:dyDescent="0.4">
      <c r="A62" s="17">
        <v>2024</v>
      </c>
      <c r="B62" s="10">
        <v>5</v>
      </c>
      <c r="C62" s="49">
        <v>338100</v>
      </c>
      <c r="D62" s="18">
        <v>3387602245</v>
      </c>
      <c r="E62" s="18"/>
      <c r="F62" s="18"/>
      <c r="G62" s="18"/>
      <c r="H62" s="18">
        <v>1458378337</v>
      </c>
      <c r="I62" s="18"/>
      <c r="J62" s="18"/>
      <c r="K62" s="18">
        <v>1361528000</v>
      </c>
      <c r="L62" s="31">
        <f t="shared" si="0"/>
        <v>3290751908</v>
      </c>
      <c r="M62" s="36">
        <f t="shared" si="1"/>
        <v>-4.4166939685145956E-2</v>
      </c>
      <c r="N62" s="10">
        <v>338100</v>
      </c>
      <c r="P62" s="18">
        <v>2612000000</v>
      </c>
      <c r="Q62" s="18">
        <v>140</v>
      </c>
    </row>
    <row r="63" spans="1:17" ht="17.399999999999999" x14ac:dyDescent="0.4">
      <c r="A63" s="17">
        <v>2024</v>
      </c>
      <c r="B63" s="10">
        <v>11</v>
      </c>
      <c r="C63" s="49">
        <v>338100</v>
      </c>
      <c r="D63" s="18">
        <v>7050298232</v>
      </c>
      <c r="E63" s="18"/>
      <c r="F63" s="18"/>
      <c r="G63" s="18"/>
      <c r="H63" s="18">
        <v>2273988283</v>
      </c>
      <c r="I63" s="18">
        <v>5570430049</v>
      </c>
      <c r="J63" s="18">
        <v>8855794000</v>
      </c>
      <c r="K63" s="18">
        <f>1911796039-191620875</f>
        <v>1720175164</v>
      </c>
      <c r="L63" s="31">
        <f t="shared" si="0"/>
        <v>3211121162</v>
      </c>
      <c r="M63" s="36">
        <f t="shared" si="1"/>
        <v>-2.419834379079544E-2</v>
      </c>
      <c r="N63" s="10">
        <v>338100</v>
      </c>
      <c r="O63" s="39" t="s">
        <v>113</v>
      </c>
      <c r="P63" s="18">
        <v>9666000000</v>
      </c>
      <c r="Q63" s="18">
        <v>518</v>
      </c>
    </row>
    <row r="64" spans="1:17" s="22" customFormat="1" ht="18" thickBot="1" x14ac:dyDescent="0.45">
      <c r="A64" s="19">
        <v>2025</v>
      </c>
      <c r="B64" s="20">
        <v>5</v>
      </c>
      <c r="C64" s="48">
        <v>338100</v>
      </c>
      <c r="D64" s="21">
        <v>10765984216</v>
      </c>
      <c r="E64" s="21"/>
      <c r="F64" s="21">
        <v>26260751</v>
      </c>
      <c r="G64" s="21"/>
      <c r="H64" s="21">
        <v>8914852764</v>
      </c>
      <c r="I64" s="21"/>
      <c r="J64" s="21"/>
      <c r="K64" s="21"/>
      <c r="L64" s="32">
        <f t="shared" ref="L64:L119" si="2">D64+E64-F64+G64-H64+I64-J64+K64</f>
        <v>1824870701</v>
      </c>
      <c r="M64" s="37">
        <f t="shared" si="1"/>
        <v>-0.43170294456799452</v>
      </c>
      <c r="N64" s="20">
        <v>338100</v>
      </c>
      <c r="O64" s="41"/>
      <c r="P64" s="21">
        <v>2351000000</v>
      </c>
      <c r="Q64" s="21">
        <v>126</v>
      </c>
    </row>
    <row r="65" spans="1:17" ht="17.399999999999999" x14ac:dyDescent="0.4">
      <c r="A65" s="10">
        <v>2020</v>
      </c>
      <c r="B65" s="10">
        <v>12</v>
      </c>
      <c r="C65" s="49">
        <v>348950</v>
      </c>
      <c r="D65" s="12">
        <v>15149976623</v>
      </c>
      <c r="E65" s="12">
        <v>11706128000</v>
      </c>
      <c r="F65" s="12">
        <v>0</v>
      </c>
      <c r="G65" s="12">
        <v>0</v>
      </c>
      <c r="H65" s="12">
        <v>15524000</v>
      </c>
      <c r="I65" s="12"/>
      <c r="J65" s="12">
        <v>410044000</v>
      </c>
      <c r="K65" s="12">
        <v>1221468000</v>
      </c>
      <c r="L65" s="29">
        <f t="shared" si="2"/>
        <v>27652004623</v>
      </c>
      <c r="M65" s="34">
        <f t="shared" ref="M65:M120" si="3">L65/L64-1</f>
        <v>14.152856916299408</v>
      </c>
      <c r="N65" s="10">
        <v>348950</v>
      </c>
      <c r="O65" s="39"/>
      <c r="P65" s="12">
        <v>25337000000</v>
      </c>
      <c r="Q65" s="12">
        <v>153</v>
      </c>
    </row>
    <row r="66" spans="1:17" ht="17.399999999999999" x14ac:dyDescent="0.4">
      <c r="A66" s="10">
        <v>2021</v>
      </c>
      <c r="B66" s="10">
        <v>6</v>
      </c>
      <c r="C66" s="49">
        <v>348950</v>
      </c>
      <c r="D66" s="12">
        <v>18084166924</v>
      </c>
      <c r="E66" s="12">
        <v>11579388000</v>
      </c>
      <c r="F66" s="12">
        <v>4403000</v>
      </c>
      <c r="G66" s="12">
        <v>0</v>
      </c>
      <c r="H66" s="12"/>
      <c r="I66" s="12"/>
      <c r="J66" s="12">
        <v>2091119000</v>
      </c>
      <c r="K66" s="12">
        <v>1071659000</v>
      </c>
      <c r="L66" s="29">
        <f t="shared" si="2"/>
        <v>28639691924</v>
      </c>
      <c r="M66" s="34">
        <f t="shared" si="3"/>
        <v>3.5718470124168622E-2</v>
      </c>
      <c r="N66" s="10">
        <v>348950</v>
      </c>
      <c r="O66" s="39"/>
      <c r="P66" s="12">
        <v>31464000000</v>
      </c>
      <c r="Q66" s="12">
        <v>190</v>
      </c>
    </row>
    <row r="67" spans="1:17" ht="17.399999999999999" x14ac:dyDescent="0.4">
      <c r="A67" s="10">
        <v>2021</v>
      </c>
      <c r="B67" s="10">
        <v>12</v>
      </c>
      <c r="C67" s="49">
        <v>348950</v>
      </c>
      <c r="D67" s="12">
        <v>17011995319</v>
      </c>
      <c r="E67" s="12">
        <v>11638889000</v>
      </c>
      <c r="F67" s="12">
        <v>0</v>
      </c>
      <c r="G67" s="12">
        <v>0</v>
      </c>
      <c r="H67" s="12"/>
      <c r="I67" s="12"/>
      <c r="J67" s="12">
        <v>909650000</v>
      </c>
      <c r="K67" s="12">
        <v>1054177000</v>
      </c>
      <c r="L67" s="29">
        <f t="shared" si="2"/>
        <v>28795411319</v>
      </c>
      <c r="M67" s="34">
        <f t="shared" si="3"/>
        <v>5.4371882006700734E-3</v>
      </c>
      <c r="N67" s="10">
        <v>348950</v>
      </c>
      <c r="O67" s="39"/>
      <c r="P67" s="12">
        <v>31464000000</v>
      </c>
      <c r="Q67" s="12">
        <v>190</v>
      </c>
    </row>
    <row r="68" spans="1:17" ht="17.399999999999999" x14ac:dyDescent="0.4">
      <c r="A68" s="10">
        <v>2022</v>
      </c>
      <c r="B68" s="10">
        <v>6</v>
      </c>
      <c r="C68" s="49">
        <v>348950</v>
      </c>
      <c r="D68" s="12">
        <v>13218402553</v>
      </c>
      <c r="E68" s="12">
        <v>11581882000</v>
      </c>
      <c r="F68" s="12">
        <v>0</v>
      </c>
      <c r="G68" s="12">
        <v>0</v>
      </c>
      <c r="H68" s="12"/>
      <c r="I68" s="12"/>
      <c r="J68" s="12">
        <f>1736457000+354585000</f>
        <v>2091042000</v>
      </c>
      <c r="K68" s="12">
        <v>190293000</v>
      </c>
      <c r="L68" s="29">
        <f t="shared" si="2"/>
        <v>22899535553</v>
      </c>
      <c r="M68" s="34">
        <f t="shared" si="3"/>
        <v>-0.20475053128029952</v>
      </c>
      <c r="N68" s="10">
        <v>348950</v>
      </c>
      <c r="O68" s="39"/>
      <c r="P68" s="12">
        <v>31464000000</v>
      </c>
      <c r="Q68" s="12">
        <v>190</v>
      </c>
    </row>
    <row r="69" spans="1:17" ht="17.399999999999999" x14ac:dyDescent="0.4">
      <c r="A69" s="10">
        <v>2022</v>
      </c>
      <c r="B69" s="10">
        <v>12</v>
      </c>
      <c r="C69" s="49">
        <v>348950</v>
      </c>
      <c r="D69" s="12">
        <v>17624948230</v>
      </c>
      <c r="E69" s="12">
        <v>11758750000</v>
      </c>
      <c r="F69" s="12">
        <v>0</v>
      </c>
      <c r="G69" s="12">
        <v>0</v>
      </c>
      <c r="H69" s="12"/>
      <c r="I69" s="12"/>
      <c r="J69" s="12">
        <f>4120283000+33295000</f>
        <v>4153578000</v>
      </c>
      <c r="K69" s="12">
        <v>363953000</v>
      </c>
      <c r="L69" s="29">
        <f t="shared" si="2"/>
        <v>25594073230</v>
      </c>
      <c r="M69" s="34">
        <f t="shared" si="3"/>
        <v>0.11766778722492455</v>
      </c>
      <c r="N69" s="10">
        <v>348950</v>
      </c>
      <c r="O69" s="39"/>
      <c r="P69" s="12">
        <v>37501000000</v>
      </c>
      <c r="Q69" s="12">
        <v>190</v>
      </c>
    </row>
    <row r="70" spans="1:17" ht="17.399999999999999" x14ac:dyDescent="0.4">
      <c r="A70" s="10">
        <v>2023</v>
      </c>
      <c r="B70" s="10">
        <v>6</v>
      </c>
      <c r="C70" s="49">
        <v>348950</v>
      </c>
      <c r="D70" s="12">
        <v>26728872485</v>
      </c>
      <c r="E70" s="12">
        <v>12036949000</v>
      </c>
      <c r="F70" s="12">
        <v>0</v>
      </c>
      <c r="G70" s="12">
        <v>0</v>
      </c>
      <c r="H70" s="12"/>
      <c r="I70" s="12"/>
      <c r="J70" s="12">
        <f>2570676000+1620986000</f>
        <v>4191662000</v>
      </c>
      <c r="K70" s="12">
        <v>104316000</v>
      </c>
      <c r="L70" s="29">
        <f t="shared" si="2"/>
        <v>34678475485</v>
      </c>
      <c r="M70" s="34">
        <f t="shared" si="3"/>
        <v>0.3549416372049663</v>
      </c>
      <c r="N70" s="10">
        <v>348950</v>
      </c>
      <c r="O70" s="39"/>
      <c r="P70" s="12">
        <v>37501000000</v>
      </c>
      <c r="Q70" s="12">
        <v>190</v>
      </c>
    </row>
    <row r="71" spans="1:17" ht="17.399999999999999" x14ac:dyDescent="0.4">
      <c r="A71" s="10">
        <v>2023</v>
      </c>
      <c r="B71" s="10">
        <v>12</v>
      </c>
      <c r="C71" s="49">
        <v>348950</v>
      </c>
      <c r="D71" s="12">
        <v>23205162441</v>
      </c>
      <c r="E71" s="12">
        <v>12250919000</v>
      </c>
      <c r="F71" s="12">
        <v>0</v>
      </c>
      <c r="G71" s="12">
        <v>0</v>
      </c>
      <c r="H71" s="12"/>
      <c r="I71" s="12"/>
      <c r="J71" s="12">
        <f>2261889000+138027000</f>
        <v>2399916000</v>
      </c>
      <c r="K71" s="12">
        <v>342698000</v>
      </c>
      <c r="L71" s="29">
        <f t="shared" si="2"/>
        <v>33398863441</v>
      </c>
      <c r="M71" s="34">
        <f t="shared" si="3"/>
        <v>-3.6899316538683724E-2</v>
      </c>
      <c r="N71" s="10">
        <v>348950</v>
      </c>
      <c r="O71" s="39"/>
      <c r="P71" s="12">
        <v>38488000000</v>
      </c>
      <c r="Q71" s="12">
        <v>195</v>
      </c>
    </row>
    <row r="72" spans="1:17" ht="17.399999999999999" x14ac:dyDescent="0.4">
      <c r="A72" s="10">
        <v>2024</v>
      </c>
      <c r="B72" s="10">
        <v>6</v>
      </c>
      <c r="C72" s="49">
        <v>348950</v>
      </c>
      <c r="D72" s="12">
        <v>24232916587</v>
      </c>
      <c r="E72" s="12">
        <v>12548035000</v>
      </c>
      <c r="F72" s="12">
        <v>0</v>
      </c>
      <c r="G72" s="12">
        <v>0</v>
      </c>
      <c r="H72" s="12"/>
      <c r="I72" s="12"/>
      <c r="J72" s="12">
        <f>2629201000+320785000</f>
        <v>2949986000</v>
      </c>
      <c r="K72" s="12">
        <v>211241000</v>
      </c>
      <c r="L72" s="29">
        <f t="shared" si="2"/>
        <v>34042206587</v>
      </c>
      <c r="M72" s="34">
        <f t="shared" si="3"/>
        <v>1.9262426313891856E-2</v>
      </c>
      <c r="N72" s="10">
        <v>348950</v>
      </c>
      <c r="O72" s="39"/>
      <c r="P72" s="12">
        <v>38488000000</v>
      </c>
      <c r="Q72" s="12">
        <v>195</v>
      </c>
    </row>
    <row r="73" spans="1:17" ht="17.399999999999999" x14ac:dyDescent="0.4">
      <c r="A73" s="10">
        <v>2024</v>
      </c>
      <c r="B73" s="10">
        <v>12</v>
      </c>
      <c r="C73" s="49">
        <v>348950</v>
      </c>
      <c r="D73" s="12">
        <v>41313822978</v>
      </c>
      <c r="E73" s="12"/>
      <c r="F73" s="12">
        <v>0</v>
      </c>
      <c r="G73" s="12">
        <v>0</v>
      </c>
      <c r="H73" s="12"/>
      <c r="I73" s="12"/>
      <c r="J73" s="12">
        <f>9542937281+1210563216</f>
        <v>10753500497</v>
      </c>
      <c r="K73" s="12">
        <v>139666601</v>
      </c>
      <c r="L73" s="29">
        <f t="shared" si="2"/>
        <v>30699989082</v>
      </c>
      <c r="M73" s="34">
        <f t="shared" si="3"/>
        <v>-9.8178638815861086E-2</v>
      </c>
      <c r="N73" s="10">
        <v>348950</v>
      </c>
      <c r="O73" s="39"/>
      <c r="P73" s="12">
        <v>38488000000</v>
      </c>
      <c r="Q73" s="12">
        <v>195</v>
      </c>
    </row>
    <row r="74" spans="1:17" ht="18" thickBot="1" x14ac:dyDescent="0.45">
      <c r="A74" s="10">
        <v>2025</v>
      </c>
      <c r="B74" s="10">
        <v>6</v>
      </c>
      <c r="C74" s="49">
        <v>348950</v>
      </c>
      <c r="D74" s="12">
        <v>30735019561</v>
      </c>
      <c r="E74" s="12">
        <v>0</v>
      </c>
      <c r="F74" s="12">
        <v>0</v>
      </c>
      <c r="G74" s="12">
        <v>0</v>
      </c>
      <c r="H74" s="12"/>
      <c r="I74" s="12"/>
      <c r="J74" s="12">
        <f>10374933037+32807028</f>
        <v>10407740065</v>
      </c>
      <c r="K74" s="12">
        <v>82626820</v>
      </c>
      <c r="L74" s="29">
        <f t="shared" si="2"/>
        <v>20409906316</v>
      </c>
      <c r="M74" s="34">
        <f t="shared" si="3"/>
        <v>-0.33518196825787394</v>
      </c>
      <c r="N74" s="10">
        <v>348950</v>
      </c>
      <c r="O74" s="39" t="s">
        <v>115</v>
      </c>
      <c r="P74" s="12">
        <v>22698000000</v>
      </c>
      <c r="Q74" s="12">
        <v>115</v>
      </c>
    </row>
    <row r="75" spans="1:17" s="16" customFormat="1" ht="17.399999999999999" x14ac:dyDescent="0.4">
      <c r="A75" s="13">
        <v>2020</v>
      </c>
      <c r="B75" s="14">
        <v>12</v>
      </c>
      <c r="C75" s="46">
        <v>350520</v>
      </c>
      <c r="D75" s="15">
        <v>7297243827</v>
      </c>
      <c r="E75" s="15">
        <v>0</v>
      </c>
      <c r="F75" s="15">
        <v>0</v>
      </c>
      <c r="G75" s="15">
        <v>0</v>
      </c>
      <c r="H75" s="15">
        <v>5950000000</v>
      </c>
      <c r="I75" s="15">
        <v>0</v>
      </c>
      <c r="J75" s="15"/>
      <c r="K75" s="15"/>
      <c r="L75" s="30">
        <f t="shared" si="2"/>
        <v>1347243827</v>
      </c>
      <c r="M75" s="35">
        <f t="shared" si="3"/>
        <v>-0.93399069029808079</v>
      </c>
      <c r="N75" s="14">
        <v>350520</v>
      </c>
      <c r="O75" s="40"/>
      <c r="P75" s="15">
        <v>2678000000</v>
      </c>
      <c r="Q75" s="15">
        <v>130</v>
      </c>
    </row>
    <row r="76" spans="1:17" ht="17.399999999999999" x14ac:dyDescent="0.4">
      <c r="A76" s="17">
        <v>2021</v>
      </c>
      <c r="B76" s="10">
        <v>6</v>
      </c>
      <c r="C76" s="47">
        <v>350520</v>
      </c>
      <c r="D76" s="18">
        <v>2567022713</v>
      </c>
      <c r="E76" s="18">
        <v>0</v>
      </c>
      <c r="F76" s="18">
        <v>0</v>
      </c>
      <c r="G76" s="18">
        <v>0</v>
      </c>
      <c r="H76" s="18">
        <v>650000000</v>
      </c>
      <c r="I76" s="18">
        <v>0</v>
      </c>
      <c r="J76" s="18"/>
      <c r="K76" s="18"/>
      <c r="L76" s="31">
        <f t="shared" si="2"/>
        <v>1917022713</v>
      </c>
      <c r="M76" s="36">
        <f t="shared" si="3"/>
        <v>0.42292187544756876</v>
      </c>
      <c r="N76" s="10">
        <v>350520</v>
      </c>
      <c r="O76" s="39"/>
      <c r="P76" s="18">
        <v>2678000000</v>
      </c>
      <c r="Q76" s="18">
        <v>130</v>
      </c>
    </row>
    <row r="77" spans="1:17" ht="17.399999999999999" x14ac:dyDescent="0.4">
      <c r="A77" s="17">
        <v>2021</v>
      </c>
      <c r="B77" s="10">
        <v>12</v>
      </c>
      <c r="C77" s="47">
        <v>350520</v>
      </c>
      <c r="D77" s="18">
        <v>8103280124</v>
      </c>
      <c r="E77" s="18">
        <v>0</v>
      </c>
      <c r="F77" s="18">
        <v>0</v>
      </c>
      <c r="G77" s="18">
        <v>0</v>
      </c>
      <c r="H77" s="18">
        <v>6530000000</v>
      </c>
      <c r="I77" s="18">
        <v>0</v>
      </c>
      <c r="J77" s="18"/>
      <c r="K77" s="18"/>
      <c r="L77" s="31">
        <f t="shared" si="2"/>
        <v>1573280124</v>
      </c>
      <c r="M77" s="36">
        <f t="shared" si="3"/>
        <v>-0.17931065013938619</v>
      </c>
      <c r="N77" s="10">
        <v>350520</v>
      </c>
      <c r="O77" s="39"/>
      <c r="P77" s="18">
        <v>2719000000</v>
      </c>
      <c r="Q77" s="18">
        <v>132</v>
      </c>
    </row>
    <row r="78" spans="1:17" ht="17.399999999999999" x14ac:dyDescent="0.4">
      <c r="A78" s="17">
        <v>2022</v>
      </c>
      <c r="B78" s="10">
        <v>6</v>
      </c>
      <c r="C78" s="47">
        <v>350520</v>
      </c>
      <c r="D78" s="18">
        <v>24201936372</v>
      </c>
      <c r="E78" s="18">
        <v>0</v>
      </c>
      <c r="F78" s="18">
        <v>0</v>
      </c>
      <c r="G78" s="18">
        <v>0</v>
      </c>
      <c r="H78" s="18">
        <v>27832916000</v>
      </c>
      <c r="I78" s="18">
        <v>4921417000</v>
      </c>
      <c r="J78" s="18"/>
      <c r="K78" s="18"/>
      <c r="L78" s="31">
        <f t="shared" si="2"/>
        <v>1290437372</v>
      </c>
      <c r="M78" s="36">
        <f t="shared" si="3"/>
        <v>-0.17977901562811582</v>
      </c>
      <c r="N78" s="10">
        <v>350520</v>
      </c>
      <c r="O78" s="39"/>
      <c r="P78" s="18">
        <v>2740000000</v>
      </c>
      <c r="Q78" s="18">
        <v>133</v>
      </c>
    </row>
    <row r="79" spans="1:17" ht="17.399999999999999" x14ac:dyDescent="0.4">
      <c r="A79" s="17">
        <v>2022</v>
      </c>
      <c r="B79" s="10">
        <v>12</v>
      </c>
      <c r="C79" s="47">
        <v>350520</v>
      </c>
      <c r="D79" s="18">
        <v>62734177923</v>
      </c>
      <c r="E79" s="18">
        <v>0</v>
      </c>
      <c r="F79" s="18">
        <v>0</v>
      </c>
      <c r="G79" s="18">
        <v>0</v>
      </c>
      <c r="H79" s="18">
        <v>61896284000</v>
      </c>
      <c r="I79" s="18">
        <v>641826000</v>
      </c>
      <c r="J79" s="18"/>
      <c r="K79" s="18"/>
      <c r="L79" s="31">
        <f t="shared" si="2"/>
        <v>1479719923</v>
      </c>
      <c r="M79" s="36">
        <f t="shared" si="3"/>
        <v>0.14668092780561537</v>
      </c>
      <c r="N79" s="10">
        <v>350520</v>
      </c>
      <c r="O79" s="39"/>
      <c r="P79" s="18">
        <v>3772000000</v>
      </c>
      <c r="Q79" s="18">
        <v>133</v>
      </c>
    </row>
    <row r="80" spans="1:17" ht="17.399999999999999" x14ac:dyDescent="0.4">
      <c r="A80" s="17">
        <v>2023</v>
      </c>
      <c r="B80" s="10">
        <v>6</v>
      </c>
      <c r="C80" s="47">
        <v>350520</v>
      </c>
      <c r="D80" s="18">
        <v>7817972365</v>
      </c>
      <c r="E80" s="18">
        <v>0</v>
      </c>
      <c r="F80" s="18">
        <v>0</v>
      </c>
      <c r="G80" s="18">
        <v>0</v>
      </c>
      <c r="H80" s="18">
        <v>8312925000</v>
      </c>
      <c r="I80" s="18">
        <v>4330418000</v>
      </c>
      <c r="J80" s="18"/>
      <c r="K80" s="18"/>
      <c r="L80" s="31">
        <f t="shared" si="2"/>
        <v>3835465365</v>
      </c>
      <c r="M80" s="36">
        <f t="shared" si="3"/>
        <v>1.592021169265557</v>
      </c>
      <c r="N80" s="10">
        <v>350520</v>
      </c>
      <c r="O80" s="39" t="s">
        <v>118</v>
      </c>
      <c r="P80" s="18">
        <v>3772000000</v>
      </c>
      <c r="Q80" s="18">
        <v>133</v>
      </c>
    </row>
    <row r="81" spans="1:17" ht="17.399999999999999" x14ac:dyDescent="0.4">
      <c r="A81" s="17">
        <v>2023</v>
      </c>
      <c r="B81" s="10">
        <v>12</v>
      </c>
      <c r="C81" s="47">
        <v>350520</v>
      </c>
      <c r="D81" s="18">
        <v>7630769905</v>
      </c>
      <c r="E81" s="18">
        <v>0</v>
      </c>
      <c r="F81" s="18">
        <v>0</v>
      </c>
      <c r="G81" s="18">
        <v>0</v>
      </c>
      <c r="H81" s="18">
        <v>15164013000</v>
      </c>
      <c r="I81" s="18">
        <v>8242949000</v>
      </c>
      <c r="J81" s="18"/>
      <c r="K81" s="18"/>
      <c r="L81" s="31">
        <f t="shared" si="2"/>
        <v>709705905</v>
      </c>
      <c r="M81" s="36">
        <f t="shared" si="3"/>
        <v>-0.8149622438319164</v>
      </c>
      <c r="N81" s="10">
        <v>350520</v>
      </c>
      <c r="O81" s="39" t="s">
        <v>117</v>
      </c>
      <c r="P81" s="18">
        <v>3772000000</v>
      </c>
      <c r="Q81" s="18">
        <v>133</v>
      </c>
    </row>
    <row r="82" spans="1:17" ht="17.399999999999999" x14ac:dyDescent="0.4">
      <c r="A82" s="17">
        <v>2024</v>
      </c>
      <c r="B82" s="10">
        <v>6</v>
      </c>
      <c r="C82" s="47">
        <v>350520</v>
      </c>
      <c r="D82" s="18">
        <v>33710015120</v>
      </c>
      <c r="E82" s="18">
        <v>0</v>
      </c>
      <c r="F82" s="18">
        <v>0</v>
      </c>
      <c r="G82" s="18">
        <v>0</v>
      </c>
      <c r="H82" s="18">
        <v>39619856000</v>
      </c>
      <c r="I82" s="18">
        <v>3698436000</v>
      </c>
      <c r="J82" s="18"/>
      <c r="K82" s="18"/>
      <c r="L82" s="31">
        <f t="shared" si="2"/>
        <v>-2211404880</v>
      </c>
      <c r="M82" s="36">
        <f t="shared" si="3"/>
        <v>-4.1159454422180692</v>
      </c>
      <c r="N82" s="10">
        <v>350520</v>
      </c>
      <c r="O82" s="39" t="s">
        <v>116</v>
      </c>
      <c r="P82" s="18">
        <v>4254000000</v>
      </c>
      <c r="Q82" s="18">
        <v>150</v>
      </c>
    </row>
    <row r="83" spans="1:17" ht="17.399999999999999" x14ac:dyDescent="0.4">
      <c r="A83" s="17">
        <v>2024</v>
      </c>
      <c r="B83" s="10">
        <v>12</v>
      </c>
      <c r="C83" s="47">
        <v>350520</v>
      </c>
      <c r="D83" s="18">
        <v>9285179114</v>
      </c>
      <c r="E83" s="18">
        <v>0</v>
      </c>
      <c r="F83" s="18">
        <v>381549000</v>
      </c>
      <c r="G83" s="18">
        <v>0</v>
      </c>
      <c r="H83" s="18">
        <v>13309235000</v>
      </c>
      <c r="I83" s="18">
        <v>7365825000</v>
      </c>
      <c r="J83" s="18"/>
      <c r="K83" s="18"/>
      <c r="L83" s="31">
        <f t="shared" si="2"/>
        <v>2960220114</v>
      </c>
      <c r="M83" s="36">
        <f t="shared" si="3"/>
        <v>-2.338615167567144</v>
      </c>
      <c r="N83" s="10">
        <v>350520</v>
      </c>
      <c r="O83" s="39" t="s">
        <v>119</v>
      </c>
      <c r="P83" s="18">
        <v>5530000000</v>
      </c>
      <c r="Q83" s="18">
        <v>150</v>
      </c>
    </row>
    <row r="84" spans="1:17" s="22" customFormat="1" ht="18" thickBot="1" x14ac:dyDescent="0.45">
      <c r="A84" s="19">
        <v>2025</v>
      </c>
      <c r="B84" s="20">
        <v>6</v>
      </c>
      <c r="C84" s="48">
        <v>350520</v>
      </c>
      <c r="D84" s="21">
        <v>3472731645</v>
      </c>
      <c r="E84" s="21">
        <v>0</v>
      </c>
      <c r="F84" s="21">
        <v>151389000</v>
      </c>
      <c r="G84" s="21">
        <v>0</v>
      </c>
      <c r="H84" s="21">
        <v>9517591000</v>
      </c>
      <c r="I84" s="21">
        <v>5584288000</v>
      </c>
      <c r="J84" s="21"/>
      <c r="K84" s="21"/>
      <c r="L84" s="32">
        <f t="shared" si="2"/>
        <v>-611960355</v>
      </c>
      <c r="M84" s="37">
        <f t="shared" si="3"/>
        <v>-1.2067279902956567</v>
      </c>
      <c r="N84" s="20">
        <v>350520</v>
      </c>
      <c r="O84" s="41" t="s">
        <v>120</v>
      </c>
      <c r="P84" s="21">
        <v>5530000000</v>
      </c>
      <c r="Q84" s="21">
        <v>150</v>
      </c>
    </row>
    <row r="85" spans="1:17" ht="17.399999999999999" x14ac:dyDescent="0.4">
      <c r="A85" s="10">
        <v>2021</v>
      </c>
      <c r="B85" s="10">
        <v>5</v>
      </c>
      <c r="C85" s="49">
        <v>357120</v>
      </c>
      <c r="D85" s="12">
        <v>9288380162</v>
      </c>
      <c r="E85" s="12">
        <v>2317700000</v>
      </c>
      <c r="F85" s="12">
        <v>0</v>
      </c>
      <c r="G85" s="12">
        <v>0</v>
      </c>
      <c r="H85" s="12"/>
      <c r="I85" s="12"/>
      <c r="J85" s="12"/>
      <c r="K85" s="12"/>
      <c r="L85" s="29">
        <f t="shared" si="2"/>
        <v>11606080162</v>
      </c>
      <c r="M85" s="34">
        <f t="shared" si="3"/>
        <v>-19.965411839464664</v>
      </c>
      <c r="N85" s="10">
        <v>357120</v>
      </c>
      <c r="O85" s="39"/>
      <c r="P85" s="12">
        <v>11606000000</v>
      </c>
      <c r="Q85" s="12">
        <v>166</v>
      </c>
    </row>
    <row r="86" spans="1:17" ht="17.399999999999999" x14ac:dyDescent="0.4">
      <c r="A86" s="10">
        <v>2021</v>
      </c>
      <c r="B86" s="10">
        <v>11</v>
      </c>
      <c r="C86" s="49">
        <v>357120</v>
      </c>
      <c r="D86" s="12">
        <v>20249161358</v>
      </c>
      <c r="E86" s="12">
        <v>1949040000</v>
      </c>
      <c r="F86" s="12">
        <v>17974954000</v>
      </c>
      <c r="G86" s="12">
        <v>0</v>
      </c>
      <c r="H86" s="12"/>
      <c r="I86" s="12">
        <v>1272523000</v>
      </c>
      <c r="J86" s="12"/>
      <c r="K86" s="12">
        <f>4826503000-1245686000+1000000000</f>
        <v>4580817000</v>
      </c>
      <c r="L86" s="29">
        <f t="shared" si="2"/>
        <v>10076587358</v>
      </c>
      <c r="M86" s="34">
        <f t="shared" si="3"/>
        <v>-0.13178375322684588</v>
      </c>
      <c r="N86" s="10">
        <v>357120</v>
      </c>
      <c r="O86" s="39"/>
      <c r="P86" s="12">
        <v>22198000000</v>
      </c>
      <c r="Q86" s="12">
        <v>319</v>
      </c>
    </row>
    <row r="87" spans="1:17" ht="17.399999999999999" x14ac:dyDescent="0.4">
      <c r="A87" s="10">
        <v>2022</v>
      </c>
      <c r="B87" s="10">
        <v>5</v>
      </c>
      <c r="C87" s="49">
        <v>357120</v>
      </c>
      <c r="D87" s="12">
        <v>12958406101</v>
      </c>
      <c r="E87" s="12">
        <v>2725724000</v>
      </c>
      <c r="F87" s="12">
        <v>3337236000</v>
      </c>
      <c r="G87" s="12">
        <v>56588000</v>
      </c>
      <c r="H87" s="12"/>
      <c r="I87" s="12"/>
      <c r="J87" s="12"/>
      <c r="K87" s="12"/>
      <c r="L87" s="29">
        <f t="shared" si="2"/>
        <v>12403482101</v>
      </c>
      <c r="M87" s="34">
        <f t="shared" si="3"/>
        <v>0.23092091204396037</v>
      </c>
      <c r="N87" s="10">
        <v>357120</v>
      </c>
      <c r="O87" s="39"/>
      <c r="P87" s="12">
        <v>15684000000</v>
      </c>
      <c r="Q87" s="12">
        <v>177</v>
      </c>
    </row>
    <row r="88" spans="1:17" ht="17.399999999999999" x14ac:dyDescent="0.4">
      <c r="A88" s="10">
        <v>2022</v>
      </c>
      <c r="B88" s="10">
        <v>11</v>
      </c>
      <c r="C88" s="49">
        <v>357120</v>
      </c>
      <c r="D88" s="12">
        <v>11548987502</v>
      </c>
      <c r="E88" s="12">
        <v>4016847000</v>
      </c>
      <c r="F88" s="12">
        <v>2293181000</v>
      </c>
      <c r="G88" s="12">
        <v>0</v>
      </c>
      <c r="H88" s="12"/>
      <c r="I88" s="12">
        <v>937602000</v>
      </c>
      <c r="J88" s="12"/>
      <c r="K88" s="12"/>
      <c r="L88" s="29">
        <f t="shared" si="2"/>
        <v>14210255502</v>
      </c>
      <c r="M88" s="34">
        <f t="shared" si="3"/>
        <v>0.14566662702357869</v>
      </c>
      <c r="N88" s="10">
        <v>357120</v>
      </c>
      <c r="O88" s="39"/>
      <c r="P88" s="12">
        <v>15566000000</v>
      </c>
      <c r="Q88" s="12">
        <v>175</v>
      </c>
    </row>
    <row r="89" spans="1:17" ht="17.399999999999999" x14ac:dyDescent="0.4">
      <c r="A89" s="10">
        <v>2023</v>
      </c>
      <c r="B89" s="10">
        <v>5</v>
      </c>
      <c r="C89" s="49">
        <v>357120</v>
      </c>
      <c r="D89" s="12">
        <v>13700708129</v>
      </c>
      <c r="E89" s="12">
        <v>4034536000</v>
      </c>
      <c r="F89" s="12">
        <v>5229608000</v>
      </c>
      <c r="G89" s="12">
        <v>0</v>
      </c>
      <c r="H89" s="12"/>
      <c r="I89" s="12">
        <v>1038392000</v>
      </c>
      <c r="J89" s="12"/>
      <c r="K89" s="12"/>
      <c r="L89" s="29">
        <f t="shared" si="2"/>
        <v>13544028129</v>
      </c>
      <c r="M89" s="34">
        <f t="shared" si="3"/>
        <v>-4.6883560461402851E-2</v>
      </c>
      <c r="N89" s="10">
        <v>357120</v>
      </c>
      <c r="O89" s="39"/>
      <c r="P89" s="12">
        <v>17735000000</v>
      </c>
      <c r="Q89" s="12">
        <v>200</v>
      </c>
    </row>
    <row r="90" spans="1:17" ht="17.399999999999999" x14ac:dyDescent="0.4">
      <c r="A90" s="10">
        <v>2023</v>
      </c>
      <c r="B90" s="10">
        <v>11</v>
      </c>
      <c r="C90" s="49">
        <v>357120</v>
      </c>
      <c r="D90" s="12">
        <v>10740823332</v>
      </c>
      <c r="E90" s="12">
        <v>4118205000</v>
      </c>
      <c r="F90" s="12">
        <v>0</v>
      </c>
      <c r="G90" s="12">
        <v>1038392000</v>
      </c>
      <c r="H90" s="12"/>
      <c r="I90" s="12"/>
      <c r="J90" s="12"/>
      <c r="K90" s="12"/>
      <c r="L90" s="29">
        <f t="shared" si="2"/>
        <v>15897420332</v>
      </c>
      <c r="M90" s="34">
        <f t="shared" si="3"/>
        <v>0.17375866179434452</v>
      </c>
      <c r="N90" s="10">
        <v>357120</v>
      </c>
      <c r="O90" s="39"/>
      <c r="P90" s="12">
        <v>14859000000</v>
      </c>
      <c r="Q90" s="12">
        <v>168</v>
      </c>
    </row>
    <row r="91" spans="1:17" ht="17.399999999999999" x14ac:dyDescent="0.4">
      <c r="A91" s="10">
        <v>2024</v>
      </c>
      <c r="B91" s="10">
        <v>5</v>
      </c>
      <c r="C91" s="49">
        <v>357120</v>
      </c>
      <c r="D91" s="12">
        <v>11889851488</v>
      </c>
      <c r="E91" s="12">
        <v>3990113000</v>
      </c>
      <c r="F91" s="12">
        <v>1914253000</v>
      </c>
      <c r="G91" s="12">
        <v>602409000</v>
      </c>
      <c r="H91" s="12">
        <v>1006595000</v>
      </c>
      <c r="I91" s="12"/>
      <c r="J91" s="12"/>
      <c r="K91" s="12"/>
      <c r="L91" s="29">
        <f>D91+E91-F91+G91-H91+I91-J91+K91</f>
        <v>13561525488</v>
      </c>
      <c r="M91" s="34">
        <f t="shared" si="3"/>
        <v>-0.14693546469914143</v>
      </c>
      <c r="N91" s="10">
        <v>357120</v>
      </c>
      <c r="O91" s="39"/>
      <c r="P91" s="12">
        <v>14873000000</v>
      </c>
      <c r="Q91" s="12">
        <v>168</v>
      </c>
    </row>
    <row r="92" spans="1:17" ht="17.399999999999999" x14ac:dyDescent="0.4">
      <c r="A92" s="10">
        <v>2024</v>
      </c>
      <c r="B92" s="10">
        <v>11</v>
      </c>
      <c r="C92" s="49">
        <v>357120</v>
      </c>
      <c r="D92" s="12">
        <v>23754780543</v>
      </c>
      <c r="E92" s="12">
        <v>4118356000</v>
      </c>
      <c r="F92" s="12">
        <v>13257182000</v>
      </c>
      <c r="G92" s="12">
        <v>508841000</v>
      </c>
      <c r="H92" s="12">
        <v>3655685000</v>
      </c>
      <c r="I92" s="12"/>
      <c r="J92" s="12"/>
      <c r="K92" s="12">
        <f>3394944000-1701563000</f>
        <v>1693381000</v>
      </c>
      <c r="L92" s="29">
        <f>D92+E92-F92+G92-H92+I92-J92+K92</f>
        <v>13162491543</v>
      </c>
      <c r="M92" s="34">
        <f t="shared" si="3"/>
        <v>-2.9423971908845159E-2</v>
      </c>
      <c r="N92" s="10">
        <v>357120</v>
      </c>
      <c r="O92" s="39"/>
      <c r="P92" s="12">
        <v>24217000000</v>
      </c>
      <c r="Q92" s="12">
        <v>249</v>
      </c>
    </row>
    <row r="93" spans="1:17" ht="18" thickBot="1" x14ac:dyDescent="0.45">
      <c r="A93" s="10">
        <v>2025</v>
      </c>
      <c r="B93" s="10">
        <v>5</v>
      </c>
      <c r="C93" s="49">
        <v>357120</v>
      </c>
      <c r="D93" s="12">
        <v>12267643841</v>
      </c>
      <c r="E93" s="12">
        <v>4125835000</v>
      </c>
      <c r="F93" s="12">
        <v>739033000</v>
      </c>
      <c r="G93" s="12">
        <v>169119000</v>
      </c>
      <c r="H93" s="12"/>
      <c r="I93" s="12"/>
      <c r="J93" s="12"/>
      <c r="K93" s="12"/>
      <c r="L93" s="29">
        <f t="shared" si="2"/>
        <v>15823564841</v>
      </c>
      <c r="M93" s="34">
        <f t="shared" si="3"/>
        <v>0.20217094076046704</v>
      </c>
      <c r="N93" s="10">
        <v>357120</v>
      </c>
      <c r="O93" s="39"/>
      <c r="P93" s="12">
        <v>15891000000</v>
      </c>
      <c r="Q93" s="12">
        <v>163</v>
      </c>
    </row>
    <row r="94" spans="1:17" s="16" customFormat="1" ht="17.399999999999999" x14ac:dyDescent="0.4">
      <c r="A94" s="13">
        <v>2021</v>
      </c>
      <c r="B94" s="14">
        <v>5</v>
      </c>
      <c r="C94" s="46">
        <v>357250</v>
      </c>
      <c r="D94" s="15">
        <v>1188458437</v>
      </c>
      <c r="E94" s="15">
        <v>1685565000</v>
      </c>
      <c r="F94" s="15">
        <v>0</v>
      </c>
      <c r="G94" s="15">
        <v>0</v>
      </c>
      <c r="H94" s="15"/>
      <c r="I94" s="15"/>
      <c r="J94" s="15"/>
      <c r="K94" s="15"/>
      <c r="L94" s="30">
        <f t="shared" si="2"/>
        <v>2874023437</v>
      </c>
      <c r="M94" s="35">
        <f t="shared" si="3"/>
        <v>-0.81837067273531194</v>
      </c>
      <c r="N94" s="14">
        <v>357250</v>
      </c>
      <c r="O94" s="40"/>
      <c r="P94" s="15">
        <v>3075000000</v>
      </c>
      <c r="Q94" s="15">
        <v>153</v>
      </c>
    </row>
    <row r="95" spans="1:17" ht="17.399999999999999" x14ac:dyDescent="0.4">
      <c r="A95" s="17">
        <v>2021</v>
      </c>
      <c r="B95" s="10">
        <v>11</v>
      </c>
      <c r="C95" s="47">
        <v>357250</v>
      </c>
      <c r="D95" s="18">
        <v>583611374</v>
      </c>
      <c r="E95" s="18">
        <v>1694825000</v>
      </c>
      <c r="F95" s="18">
        <v>0</v>
      </c>
      <c r="G95" s="18">
        <v>0</v>
      </c>
      <c r="H95" s="18"/>
      <c r="I95" s="18"/>
      <c r="J95" s="18"/>
      <c r="K95" s="18"/>
      <c r="L95" s="31">
        <f t="shared" si="2"/>
        <v>2278436374</v>
      </c>
      <c r="M95" s="36">
        <f t="shared" si="3"/>
        <v>-0.20723110860282101</v>
      </c>
      <c r="N95" s="10">
        <v>357250</v>
      </c>
      <c r="O95" s="39"/>
      <c r="P95" s="18">
        <v>2432000000</v>
      </c>
      <c r="Q95" s="18">
        <v>121</v>
      </c>
    </row>
    <row r="96" spans="1:17" ht="17.399999999999999" x14ac:dyDescent="0.4">
      <c r="A96" s="17">
        <v>2022</v>
      </c>
      <c r="B96" s="10">
        <v>5</v>
      </c>
      <c r="C96" s="47">
        <v>357250</v>
      </c>
      <c r="D96" s="18">
        <v>1318817047</v>
      </c>
      <c r="E96" s="18">
        <v>1685565000</v>
      </c>
      <c r="F96" s="18">
        <v>0</v>
      </c>
      <c r="G96" s="18">
        <v>0</v>
      </c>
      <c r="H96" s="18"/>
      <c r="I96" s="18"/>
      <c r="J96" s="18"/>
      <c r="K96" s="18"/>
      <c r="L96" s="31">
        <f t="shared" si="2"/>
        <v>3004382047</v>
      </c>
      <c r="M96" s="36">
        <f t="shared" si="3"/>
        <v>0.31861573194845771</v>
      </c>
      <c r="N96" s="10">
        <v>357250</v>
      </c>
      <c r="O96" s="39"/>
      <c r="P96" s="18">
        <v>3015000000</v>
      </c>
      <c r="Q96" s="18">
        <v>150</v>
      </c>
    </row>
    <row r="97" spans="1:17" ht="17.399999999999999" x14ac:dyDescent="0.4">
      <c r="A97" s="17">
        <v>2022</v>
      </c>
      <c r="B97" s="10">
        <v>11</v>
      </c>
      <c r="C97" s="47">
        <v>357250</v>
      </c>
      <c r="D97" s="18">
        <v>633285547</v>
      </c>
      <c r="E97" s="18">
        <v>1694826000</v>
      </c>
      <c r="F97" s="18">
        <v>0</v>
      </c>
      <c r="G97" s="18">
        <v>0</v>
      </c>
      <c r="H97" s="18"/>
      <c r="I97" s="18"/>
      <c r="J97" s="18"/>
      <c r="K97" s="18"/>
      <c r="L97" s="31">
        <f t="shared" si="2"/>
        <v>2328111547</v>
      </c>
      <c r="M97" s="36">
        <f t="shared" si="3"/>
        <v>-0.22509470813649823</v>
      </c>
      <c r="N97" s="10">
        <v>357250</v>
      </c>
      <c r="O97" s="39"/>
      <c r="P97" s="18">
        <v>2713000000</v>
      </c>
      <c r="Q97" s="18">
        <v>135</v>
      </c>
    </row>
    <row r="98" spans="1:17" ht="17.399999999999999" x14ac:dyDescent="0.4">
      <c r="A98" s="17">
        <v>2023</v>
      </c>
      <c r="B98" s="10">
        <v>5</v>
      </c>
      <c r="C98" s="47">
        <v>357250</v>
      </c>
      <c r="D98" s="18">
        <v>1422403966</v>
      </c>
      <c r="E98" s="18">
        <v>1685565000</v>
      </c>
      <c r="F98" s="18">
        <v>0</v>
      </c>
      <c r="G98" s="18">
        <v>0</v>
      </c>
      <c r="H98" s="18"/>
      <c r="I98" s="18"/>
      <c r="J98" s="18"/>
      <c r="K98" s="18"/>
      <c r="L98" s="31">
        <f t="shared" si="2"/>
        <v>3107968966</v>
      </c>
      <c r="M98" s="36">
        <f t="shared" si="3"/>
        <v>0.33497424983992841</v>
      </c>
      <c r="N98" s="10">
        <v>357250</v>
      </c>
      <c r="O98" s="39"/>
      <c r="P98" s="18">
        <v>3095000000</v>
      </c>
      <c r="Q98" s="18">
        <v>154</v>
      </c>
    </row>
    <row r="99" spans="1:17" ht="17.399999999999999" x14ac:dyDescent="0.4">
      <c r="A99" s="17">
        <v>2023</v>
      </c>
      <c r="B99" s="10">
        <v>11</v>
      </c>
      <c r="C99" s="47">
        <v>357250</v>
      </c>
      <c r="D99" s="18">
        <v>5581111973</v>
      </c>
      <c r="E99" s="18">
        <v>1694826000</v>
      </c>
      <c r="F99" s="18">
        <v>0</v>
      </c>
      <c r="G99" s="18">
        <v>0</v>
      </c>
      <c r="H99" s="18"/>
      <c r="I99" s="18"/>
      <c r="J99" s="18">
        <v>4843372470</v>
      </c>
      <c r="K99" s="18"/>
      <c r="L99" s="31">
        <f t="shared" si="2"/>
        <v>2432565503</v>
      </c>
      <c r="M99" s="36">
        <f t="shared" si="3"/>
        <v>-0.21731345144969505</v>
      </c>
      <c r="N99" s="10">
        <v>357250</v>
      </c>
      <c r="O99" s="39"/>
      <c r="P99" s="18">
        <v>2733000000</v>
      </c>
      <c r="Q99" s="18">
        <v>136</v>
      </c>
    </row>
    <row r="100" spans="1:17" ht="17.399999999999999" x14ac:dyDescent="0.4">
      <c r="A100" s="17">
        <v>2024</v>
      </c>
      <c r="B100" s="10">
        <v>5</v>
      </c>
      <c r="C100" s="47">
        <v>357250</v>
      </c>
      <c r="D100" s="18">
        <v>1833329662</v>
      </c>
      <c r="E100" s="18">
        <v>1694827000</v>
      </c>
      <c r="F100" s="18">
        <v>0</v>
      </c>
      <c r="G100" s="18">
        <v>0</v>
      </c>
      <c r="H100" s="18"/>
      <c r="I100" s="18"/>
      <c r="J100" s="18"/>
      <c r="K100" s="18"/>
      <c r="L100" s="31">
        <f t="shared" si="2"/>
        <v>3528156662</v>
      </c>
      <c r="M100" s="36">
        <f t="shared" si="3"/>
        <v>0.45038505957962682</v>
      </c>
      <c r="N100" s="10">
        <v>357250</v>
      </c>
      <c r="O100" s="39"/>
      <c r="P100" s="18">
        <v>3799000000</v>
      </c>
      <c r="Q100" s="18">
        <v>152</v>
      </c>
    </row>
    <row r="101" spans="1:17" ht="17.399999999999999" x14ac:dyDescent="0.4">
      <c r="A101" s="17">
        <v>2024</v>
      </c>
      <c r="B101" s="10">
        <v>11</v>
      </c>
      <c r="C101" s="47">
        <v>357250</v>
      </c>
      <c r="D101" s="18">
        <v>1534555756</v>
      </c>
      <c r="E101" s="18">
        <v>1694825000</v>
      </c>
      <c r="F101" s="18">
        <v>0</v>
      </c>
      <c r="G101" s="18">
        <v>0</v>
      </c>
      <c r="H101" s="18"/>
      <c r="I101" s="18"/>
      <c r="J101" s="18"/>
      <c r="K101" s="18"/>
      <c r="L101" s="31">
        <f t="shared" si="2"/>
        <v>3229380756</v>
      </c>
      <c r="M101" s="36">
        <f t="shared" si="3"/>
        <v>-8.4683287796702755E-2</v>
      </c>
      <c r="N101" s="10">
        <v>357250</v>
      </c>
      <c r="O101" s="39"/>
      <c r="P101" s="18">
        <v>3299000000</v>
      </c>
      <c r="Q101" s="18">
        <v>132</v>
      </c>
    </row>
    <row r="102" spans="1:17" s="22" customFormat="1" ht="18" thickBot="1" x14ac:dyDescent="0.45">
      <c r="A102" s="19">
        <v>2025</v>
      </c>
      <c r="B102" s="20">
        <v>5</v>
      </c>
      <c r="C102" s="48">
        <v>357250</v>
      </c>
      <c r="D102" s="21">
        <v>1738185146</v>
      </c>
      <c r="E102" s="21">
        <v>1685565000</v>
      </c>
      <c r="F102" s="21">
        <v>0</v>
      </c>
      <c r="G102" s="21">
        <v>0</v>
      </c>
      <c r="H102" s="21"/>
      <c r="I102" s="21"/>
      <c r="J102" s="21"/>
      <c r="K102" s="21"/>
      <c r="L102" s="32">
        <f t="shared" si="2"/>
        <v>3423750146</v>
      </c>
      <c r="M102" s="37">
        <f t="shared" si="3"/>
        <v>6.0187820726581354E-2</v>
      </c>
      <c r="N102" s="20">
        <v>357250</v>
      </c>
      <c r="O102" s="41"/>
      <c r="P102" s="21">
        <v>3424000000</v>
      </c>
      <c r="Q102" s="21">
        <v>137</v>
      </c>
    </row>
    <row r="103" spans="1:17" ht="17.399999999999999" x14ac:dyDescent="0.4">
      <c r="A103" s="17">
        <v>2022</v>
      </c>
      <c r="B103" s="10">
        <v>9</v>
      </c>
      <c r="C103" s="49">
        <v>357430</v>
      </c>
      <c r="D103" s="18">
        <v>812788175</v>
      </c>
      <c r="E103" s="18">
        <v>544916873</v>
      </c>
      <c r="F103" s="18"/>
      <c r="G103" s="18"/>
      <c r="H103" s="18"/>
      <c r="I103" s="18">
        <v>752618830</v>
      </c>
      <c r="J103" s="18"/>
      <c r="K103" s="18"/>
      <c r="L103" s="31">
        <f t="shared" ref="L103:L108" si="4">D103+E103-F103+G103-H103+I103-J103+K103</f>
        <v>2110323878</v>
      </c>
      <c r="M103" s="34">
        <f t="shared" si="3"/>
        <v>-0.38362211376156885</v>
      </c>
      <c r="N103" s="10">
        <v>357430</v>
      </c>
      <c r="O103" s="39"/>
      <c r="P103" s="18">
        <v>2963000000</v>
      </c>
      <c r="Q103" s="18">
        <v>111</v>
      </c>
    </row>
    <row r="104" spans="1:17" ht="17.399999999999999" x14ac:dyDescent="0.4">
      <c r="A104" s="17">
        <v>2023</v>
      </c>
      <c r="B104" s="10">
        <v>3</v>
      </c>
      <c r="C104" s="49">
        <v>357430</v>
      </c>
      <c r="D104" s="18">
        <v>683704995</v>
      </c>
      <c r="E104" s="18">
        <v>630346865</v>
      </c>
      <c r="F104" s="18"/>
      <c r="G104" s="18"/>
      <c r="H104" s="18"/>
      <c r="I104" s="18">
        <v>2127818737</v>
      </c>
      <c r="J104" s="18"/>
      <c r="K104" s="18"/>
      <c r="L104" s="31">
        <f t="shared" si="4"/>
        <v>3441870597</v>
      </c>
      <c r="M104" s="36">
        <f t="shared" si="3"/>
        <v>0.63096794424841351</v>
      </c>
      <c r="N104" s="10">
        <v>357430</v>
      </c>
      <c r="O104" s="39"/>
      <c r="P104" s="18">
        <v>4053000000</v>
      </c>
      <c r="Q104" s="18">
        <v>152</v>
      </c>
    </row>
    <row r="105" spans="1:17" ht="17.399999999999999" x14ac:dyDescent="0.4">
      <c r="A105" s="17">
        <v>2023</v>
      </c>
      <c r="B105" s="10">
        <v>9</v>
      </c>
      <c r="C105" s="49">
        <v>357430</v>
      </c>
      <c r="D105" s="18">
        <v>-5544449504</v>
      </c>
      <c r="E105" s="18">
        <v>657720738</v>
      </c>
      <c r="F105" s="18"/>
      <c r="G105" s="18"/>
      <c r="H105" s="18"/>
      <c r="I105" s="18">
        <v>7675874843</v>
      </c>
      <c r="J105" s="18"/>
      <c r="K105" s="18"/>
      <c r="L105" s="31">
        <f t="shared" si="4"/>
        <v>2789146077</v>
      </c>
      <c r="M105" s="36">
        <f t="shared" si="3"/>
        <v>-0.18964237661024419</v>
      </c>
      <c r="N105" s="10">
        <v>357430</v>
      </c>
      <c r="O105" s="39"/>
      <c r="P105" s="18">
        <v>4067000000</v>
      </c>
      <c r="Q105" s="18">
        <v>153</v>
      </c>
    </row>
    <row r="106" spans="1:17" ht="17.399999999999999" x14ac:dyDescent="0.4">
      <c r="A106" s="17">
        <v>2024</v>
      </c>
      <c r="B106" s="10">
        <v>3</v>
      </c>
      <c r="C106" s="49">
        <v>357430</v>
      </c>
      <c r="D106" s="18">
        <v>-11001031390</v>
      </c>
      <c r="E106" s="18">
        <v>632482495</v>
      </c>
      <c r="F106" s="18"/>
      <c r="G106" s="18"/>
      <c r="H106" s="18"/>
      <c r="I106" s="18">
        <f>183059336+11769144179</f>
        <v>11952203515</v>
      </c>
      <c r="J106" s="18"/>
      <c r="K106" s="18">
        <v>438533150</v>
      </c>
      <c r="L106" s="31">
        <f t="shared" si="4"/>
        <v>2022187770</v>
      </c>
      <c r="M106" s="36">
        <f t="shared" si="3"/>
        <v>-0.27497961233530621</v>
      </c>
      <c r="N106" s="10">
        <v>357430</v>
      </c>
      <c r="O106" s="39"/>
      <c r="P106" s="18">
        <v>2305000000</v>
      </c>
      <c r="Q106" s="18">
        <v>86</v>
      </c>
    </row>
    <row r="107" spans="1:17" ht="17.399999999999999" x14ac:dyDescent="0.4">
      <c r="A107" s="17">
        <v>2024</v>
      </c>
      <c r="B107" s="10">
        <v>9</v>
      </c>
      <c r="C107" s="49">
        <v>357430</v>
      </c>
      <c r="D107" s="18">
        <v>1474073916</v>
      </c>
      <c r="E107" s="18">
        <v>658880833</v>
      </c>
      <c r="F107" s="18"/>
      <c r="G107" s="18"/>
      <c r="H107" s="18">
        <v>1117766924</v>
      </c>
      <c r="I107" s="18">
        <v>840276619</v>
      </c>
      <c r="J107" s="18"/>
      <c r="K107" s="18"/>
      <c r="L107" s="31">
        <f t="shared" si="4"/>
        <v>1855464444</v>
      </c>
      <c r="M107" s="36">
        <f t="shared" si="3"/>
        <v>-8.2447005403459617E-2</v>
      </c>
      <c r="N107" s="10">
        <v>357430</v>
      </c>
      <c r="O107" s="39" t="s">
        <v>121</v>
      </c>
      <c r="P107" s="18">
        <v>1173000000</v>
      </c>
      <c r="Q107" s="18">
        <v>44</v>
      </c>
    </row>
    <row r="108" spans="1:17" s="22" customFormat="1" ht="18" thickBot="1" x14ac:dyDescent="0.45">
      <c r="A108" s="19">
        <v>2025</v>
      </c>
      <c r="B108" s="20">
        <v>3</v>
      </c>
      <c r="C108" s="48">
        <v>357430</v>
      </c>
      <c r="D108" s="21">
        <v>-12218111178</v>
      </c>
      <c r="E108" s="21">
        <v>690072572</v>
      </c>
      <c r="F108" s="21"/>
      <c r="G108" s="21"/>
      <c r="H108" s="21"/>
      <c r="I108" s="21">
        <f>10685018417+1830260728+(552225-369827)+569416</f>
        <v>12516030959</v>
      </c>
      <c r="J108" s="21"/>
      <c r="K108" s="21"/>
      <c r="L108" s="32">
        <f t="shared" si="4"/>
        <v>987992353</v>
      </c>
      <c r="M108" s="37">
        <f t="shared" si="3"/>
        <v>-0.46752288560696342</v>
      </c>
      <c r="N108" s="20">
        <v>357430</v>
      </c>
      <c r="O108" s="41" t="s">
        <v>104</v>
      </c>
      <c r="P108" s="21">
        <v>1861000000</v>
      </c>
      <c r="Q108" s="21">
        <v>61</v>
      </c>
    </row>
    <row r="109" spans="1:17" ht="17.399999999999999" x14ac:dyDescent="0.4">
      <c r="A109" s="10">
        <v>2021</v>
      </c>
      <c r="B109" s="10">
        <v>5</v>
      </c>
      <c r="C109" s="49">
        <v>365550</v>
      </c>
      <c r="D109" s="12">
        <v>5409251855</v>
      </c>
      <c r="E109" s="12">
        <v>5906579000</v>
      </c>
      <c r="F109" s="12">
        <v>0</v>
      </c>
      <c r="G109" s="12">
        <v>0</v>
      </c>
      <c r="H109" s="12">
        <v>660328000</v>
      </c>
      <c r="I109" s="12"/>
      <c r="J109" s="12">
        <v>2629803163</v>
      </c>
      <c r="K109" s="12"/>
      <c r="L109" s="29">
        <f t="shared" si="2"/>
        <v>8025699692</v>
      </c>
      <c r="M109" s="34">
        <f t="shared" si="3"/>
        <v>7.1232406988073116</v>
      </c>
      <c r="N109" s="10">
        <v>365550</v>
      </c>
      <c r="O109" s="39" t="s">
        <v>122</v>
      </c>
      <c r="P109" s="12">
        <v>19264000000</v>
      </c>
      <c r="Q109" s="12">
        <v>134</v>
      </c>
    </row>
    <row r="110" spans="1:17" ht="17.399999999999999" x14ac:dyDescent="0.4">
      <c r="A110" s="10">
        <v>2021</v>
      </c>
      <c r="B110" s="10">
        <v>11</v>
      </c>
      <c r="C110" s="49">
        <v>365550</v>
      </c>
      <c r="D110" s="12">
        <v>9485403543</v>
      </c>
      <c r="E110" s="12">
        <v>7682730000</v>
      </c>
      <c r="F110" s="12">
        <v>0</v>
      </c>
      <c r="G110" s="12">
        <v>0</v>
      </c>
      <c r="H110" s="12"/>
      <c r="I110" s="12"/>
      <c r="J110" s="12">
        <v>4335196130</v>
      </c>
      <c r="K110" s="12"/>
      <c r="L110" s="29">
        <f t="shared" si="2"/>
        <v>12832937413</v>
      </c>
      <c r="M110" s="34">
        <f t="shared" si="3"/>
        <v>0.59898051328681579</v>
      </c>
      <c r="N110" s="10">
        <v>365550</v>
      </c>
      <c r="O110" s="39"/>
      <c r="P110" s="12">
        <v>19197000000</v>
      </c>
      <c r="Q110" s="12">
        <v>134</v>
      </c>
    </row>
    <row r="111" spans="1:17" ht="17.399999999999999" x14ac:dyDescent="0.4">
      <c r="A111" s="10">
        <v>2022</v>
      </c>
      <c r="B111" s="10">
        <v>5</v>
      </c>
      <c r="C111" s="49">
        <v>365550</v>
      </c>
      <c r="D111" s="12">
        <v>30175271482</v>
      </c>
      <c r="E111" s="12">
        <v>13066668000</v>
      </c>
      <c r="F111" s="12">
        <v>0</v>
      </c>
      <c r="G111" s="12">
        <v>0</v>
      </c>
      <c r="H111" s="12"/>
      <c r="I111" s="12"/>
      <c r="J111" s="12">
        <v>21767627072</v>
      </c>
      <c r="K111" s="12"/>
      <c r="L111" s="29">
        <f t="shared" si="2"/>
        <v>21474312410</v>
      </c>
      <c r="M111" s="34">
        <f t="shared" si="3"/>
        <v>0.67337467010835184</v>
      </c>
      <c r="N111" s="10">
        <v>365550</v>
      </c>
      <c r="O111" s="39"/>
      <c r="P111" s="12">
        <v>28554000000</v>
      </c>
      <c r="Q111" s="12">
        <v>134</v>
      </c>
    </row>
    <row r="112" spans="1:17" ht="17.399999999999999" x14ac:dyDescent="0.4">
      <c r="A112" s="10">
        <v>2022</v>
      </c>
      <c r="B112" s="10">
        <v>11</v>
      </c>
      <c r="C112" s="49">
        <v>365550</v>
      </c>
      <c r="D112" s="12">
        <v>12762281756</v>
      </c>
      <c r="E112" s="12">
        <v>13767305000</v>
      </c>
      <c r="F112" s="12">
        <v>0</v>
      </c>
      <c r="G112" s="12">
        <v>0</v>
      </c>
      <c r="H112" s="12"/>
      <c r="I112" s="12"/>
      <c r="J112" s="12">
        <v>5042759149</v>
      </c>
      <c r="K112" s="12"/>
      <c r="L112" s="29">
        <f t="shared" si="2"/>
        <v>21486827607</v>
      </c>
      <c r="M112" s="34">
        <f t="shared" si="3"/>
        <v>5.8279849715558996E-4</v>
      </c>
      <c r="N112" s="10">
        <v>365550</v>
      </c>
      <c r="O112" s="39"/>
      <c r="P112" s="12">
        <v>28980000000</v>
      </c>
      <c r="Q112" s="12">
        <v>136</v>
      </c>
    </row>
    <row r="113" spans="1:17" ht="17.399999999999999" x14ac:dyDescent="0.4">
      <c r="A113" s="10">
        <v>2023</v>
      </c>
      <c r="B113" s="10">
        <v>5</v>
      </c>
      <c r="C113" s="49">
        <v>365550</v>
      </c>
      <c r="D113" s="12">
        <v>28013768456</v>
      </c>
      <c r="E113" s="12">
        <v>13823988000</v>
      </c>
      <c r="F113" s="12">
        <v>0</v>
      </c>
      <c r="G113" s="12">
        <v>0</v>
      </c>
      <c r="H113" s="12"/>
      <c r="I113" s="12"/>
      <c r="J113" s="12">
        <v>16853346484</v>
      </c>
      <c r="K113" s="12"/>
      <c r="L113" s="29">
        <f t="shared" si="2"/>
        <v>24984409972</v>
      </c>
      <c r="M113" s="34">
        <f t="shared" si="3"/>
        <v>0.1627779786281971</v>
      </c>
      <c r="N113" s="10">
        <v>365550</v>
      </c>
      <c r="O113" s="39" t="s">
        <v>123</v>
      </c>
      <c r="P113" s="12">
        <v>28767000000</v>
      </c>
      <c r="Q113" s="12">
        <v>135</v>
      </c>
    </row>
    <row r="114" spans="1:17" ht="17.399999999999999" x14ac:dyDescent="0.4">
      <c r="A114" s="10">
        <v>2023</v>
      </c>
      <c r="B114" s="10">
        <v>11</v>
      </c>
      <c r="C114" s="49">
        <v>365550</v>
      </c>
      <c r="D114" s="12">
        <v>11852472755</v>
      </c>
      <c r="E114" s="12">
        <v>14838283000</v>
      </c>
      <c r="F114" s="12">
        <v>0</v>
      </c>
      <c r="G114" s="12">
        <v>0</v>
      </c>
      <c r="H114" s="12"/>
      <c r="I114" s="12"/>
      <c r="J114" s="12">
        <v>5563022248</v>
      </c>
      <c r="K114" s="12"/>
      <c r="L114" s="29">
        <f t="shared" si="2"/>
        <v>21127733507</v>
      </c>
      <c r="M114" s="34">
        <f t="shared" si="3"/>
        <v>-0.15436331973907624</v>
      </c>
      <c r="N114" s="10">
        <v>365550</v>
      </c>
      <c r="O114" s="39" t="s">
        <v>121</v>
      </c>
      <c r="P114" s="12">
        <v>29193000000</v>
      </c>
      <c r="Q114" s="12">
        <v>137</v>
      </c>
    </row>
    <row r="115" spans="1:17" ht="17.399999999999999" x14ac:dyDescent="0.4">
      <c r="A115" s="10">
        <v>2024</v>
      </c>
      <c r="B115" s="10">
        <v>5</v>
      </c>
      <c r="C115" s="49">
        <v>365550</v>
      </c>
      <c r="D115" s="12">
        <v>22534060750</v>
      </c>
      <c r="E115" s="12">
        <v>15595427000</v>
      </c>
      <c r="F115" s="12">
        <v>0</v>
      </c>
      <c r="G115" s="12">
        <v>0</v>
      </c>
      <c r="H115" s="12"/>
      <c r="I115" s="12"/>
      <c r="J115" s="12">
        <v>18150466752</v>
      </c>
      <c r="K115" s="12"/>
      <c r="L115" s="29">
        <f t="shared" si="2"/>
        <v>19979020998</v>
      </c>
      <c r="M115" s="34">
        <f t="shared" si="3"/>
        <v>-5.4369888214436779E-2</v>
      </c>
      <c r="N115" s="10">
        <v>365550</v>
      </c>
      <c r="O115" s="39" t="s">
        <v>104</v>
      </c>
      <c r="P115" s="12">
        <v>29193000000</v>
      </c>
      <c r="Q115" s="12">
        <v>137</v>
      </c>
    </row>
    <row r="116" spans="1:17" ht="17.399999999999999" x14ac:dyDescent="0.4">
      <c r="A116" s="10">
        <v>2024</v>
      </c>
      <c r="B116" s="10">
        <v>11</v>
      </c>
      <c r="C116" s="49">
        <v>365550</v>
      </c>
      <c r="D116" s="12">
        <v>3600540919</v>
      </c>
      <c r="E116" s="12">
        <v>15791392000</v>
      </c>
      <c r="F116" s="12">
        <v>0</v>
      </c>
      <c r="G116" s="12">
        <v>0</v>
      </c>
      <c r="H116" s="12"/>
      <c r="I116" s="12"/>
      <c r="J116" s="12">
        <v>2283477613</v>
      </c>
      <c r="K116" s="12">
        <v>315282869</v>
      </c>
      <c r="L116" s="29">
        <f t="shared" si="2"/>
        <v>17423738175</v>
      </c>
      <c r="M116" s="34">
        <f t="shared" si="3"/>
        <v>-0.12789830008466363</v>
      </c>
      <c r="N116" s="10">
        <v>365550</v>
      </c>
      <c r="O116" s="39" t="s">
        <v>105</v>
      </c>
      <c r="P116" s="12">
        <v>29193000000</v>
      </c>
      <c r="Q116" s="12">
        <v>137</v>
      </c>
    </row>
    <row r="117" spans="1:17" ht="18" thickBot="1" x14ac:dyDescent="0.45">
      <c r="A117" s="10">
        <v>2025</v>
      </c>
      <c r="B117" s="10">
        <v>5</v>
      </c>
      <c r="C117" s="49">
        <v>365550</v>
      </c>
      <c r="D117" s="12">
        <v>9778739593</v>
      </c>
      <c r="E117" s="12">
        <v>16173718000</v>
      </c>
      <c r="F117" s="12">
        <v>0</v>
      </c>
      <c r="G117" s="12">
        <v>0</v>
      </c>
      <c r="H117" s="12"/>
      <c r="I117" s="12"/>
      <c r="J117" s="12">
        <v>9600537895</v>
      </c>
      <c r="K117" s="12"/>
      <c r="L117" s="29">
        <f t="shared" si="2"/>
        <v>16351919698</v>
      </c>
      <c r="M117" s="34">
        <f t="shared" si="3"/>
        <v>-6.1514840629198098E-2</v>
      </c>
      <c r="N117" s="10">
        <v>365550</v>
      </c>
      <c r="O117" s="39" t="s">
        <v>124</v>
      </c>
      <c r="P117" s="12">
        <v>29193000000</v>
      </c>
      <c r="Q117" s="12">
        <v>137</v>
      </c>
    </row>
    <row r="118" spans="1:17" s="16" customFormat="1" ht="17.399999999999999" x14ac:dyDescent="0.4">
      <c r="A118" s="13">
        <v>2021</v>
      </c>
      <c r="B118" s="14">
        <v>9</v>
      </c>
      <c r="C118" s="46">
        <v>377190</v>
      </c>
      <c r="D118" s="15">
        <v>2498514116</v>
      </c>
      <c r="E118" s="15">
        <v>3535905000</v>
      </c>
      <c r="F118" s="15"/>
      <c r="G118" s="15"/>
      <c r="H118" s="15"/>
      <c r="I118" s="15"/>
      <c r="J118" s="15">
        <v>6435227485</v>
      </c>
      <c r="K118" s="15"/>
      <c r="L118" s="30">
        <f t="shared" si="2"/>
        <v>-400808369</v>
      </c>
      <c r="M118" s="35">
        <f t="shared" si="3"/>
        <v>-1.0245113953836884</v>
      </c>
      <c r="N118" s="14">
        <v>377190</v>
      </c>
      <c r="O118" s="40"/>
      <c r="P118" s="15">
        <v>5261000000</v>
      </c>
      <c r="Q118" s="15">
        <v>81</v>
      </c>
    </row>
    <row r="119" spans="1:17" ht="17.399999999999999" x14ac:dyDescent="0.4">
      <c r="A119" s="17">
        <v>2022</v>
      </c>
      <c r="B119" s="10">
        <v>3</v>
      </c>
      <c r="C119" s="47">
        <v>377190</v>
      </c>
      <c r="D119" s="18">
        <v>3348268691</v>
      </c>
      <c r="E119" s="18">
        <v>3835664000</v>
      </c>
      <c r="F119" s="18"/>
      <c r="G119" s="18"/>
      <c r="H119" s="18"/>
      <c r="I119" s="18"/>
      <c r="J119" s="18"/>
      <c r="K119" s="18">
        <v>1126293581</v>
      </c>
      <c r="L119" s="31">
        <f t="shared" si="2"/>
        <v>8310226272</v>
      </c>
      <c r="M119" s="36">
        <f t="shared" si="3"/>
        <v>-21.733664550801834</v>
      </c>
      <c r="N119" s="10">
        <v>377190</v>
      </c>
      <c r="O119" s="39"/>
      <c r="P119" s="18">
        <v>9783000000</v>
      </c>
      <c r="Q119" s="18">
        <v>151</v>
      </c>
    </row>
    <row r="120" spans="1:17" ht="17.399999999999999" x14ac:dyDescent="0.4">
      <c r="A120" s="17">
        <v>2022</v>
      </c>
      <c r="B120" s="10">
        <v>9</v>
      </c>
      <c r="C120" s="47">
        <v>377190</v>
      </c>
      <c r="D120" s="18">
        <v>1176174157</v>
      </c>
      <c r="E120" s="18">
        <v>4344742000</v>
      </c>
      <c r="F120" s="18"/>
      <c r="G120" s="18"/>
      <c r="H120" s="18"/>
      <c r="I120" s="18"/>
      <c r="J120" s="18"/>
      <c r="K120" s="18">
        <v>1355249282</v>
      </c>
      <c r="L120" s="31">
        <f t="shared" ref="L120:L178" si="5">D120+E120-F120+G120-H120+I120-J120+K120</f>
        <v>6876165439</v>
      </c>
      <c r="M120" s="36">
        <f t="shared" si="3"/>
        <v>-0.17256579857901611</v>
      </c>
      <c r="N120" s="10">
        <v>377190</v>
      </c>
      <c r="O120" s="39"/>
      <c r="P120" s="18">
        <v>9660000000</v>
      </c>
      <c r="Q120" s="18">
        <v>150</v>
      </c>
    </row>
    <row r="121" spans="1:17" ht="17.399999999999999" x14ac:dyDescent="0.4">
      <c r="A121" s="17">
        <v>2023</v>
      </c>
      <c r="B121" s="10">
        <v>3</v>
      </c>
      <c r="C121" s="47">
        <v>377190</v>
      </c>
      <c r="D121" s="18">
        <v>7538286589</v>
      </c>
      <c r="E121" s="18">
        <v>4617592000</v>
      </c>
      <c r="F121" s="18"/>
      <c r="G121" s="18"/>
      <c r="H121" s="18"/>
      <c r="I121" s="18"/>
      <c r="J121" s="18">
        <v>5294941495</v>
      </c>
      <c r="K121" s="18"/>
      <c r="L121" s="31">
        <f t="shared" si="5"/>
        <v>6860937094</v>
      </c>
      <c r="M121" s="36">
        <f t="shared" ref="M121:M179" si="6">L121/L120-1</f>
        <v>-2.2146565749608937E-3</v>
      </c>
      <c r="N121" s="10">
        <v>377190</v>
      </c>
      <c r="O121" s="39"/>
      <c r="P121" s="18">
        <v>9660000000</v>
      </c>
      <c r="Q121" s="18">
        <v>150</v>
      </c>
    </row>
    <row r="122" spans="1:17" ht="17.399999999999999" x14ac:dyDescent="0.4">
      <c r="A122" s="17">
        <v>2023</v>
      </c>
      <c r="B122" s="10">
        <v>9</v>
      </c>
      <c r="C122" s="47">
        <v>377190</v>
      </c>
      <c r="D122" s="18">
        <v>3138984861</v>
      </c>
      <c r="E122" s="18">
        <v>4624560000</v>
      </c>
      <c r="F122" s="18"/>
      <c r="G122" s="18"/>
      <c r="H122" s="18"/>
      <c r="I122" s="18"/>
      <c r="J122" s="18">
        <v>1561890065</v>
      </c>
      <c r="K122" s="18"/>
      <c r="L122" s="31">
        <f t="shared" si="5"/>
        <v>6201654796</v>
      </c>
      <c r="M122" s="36">
        <f t="shared" si="6"/>
        <v>-9.6092164811794167E-2</v>
      </c>
      <c r="N122" s="10">
        <v>377190</v>
      </c>
      <c r="O122" s="39"/>
      <c r="P122" s="18">
        <v>9080000000</v>
      </c>
      <c r="Q122" s="18">
        <v>141</v>
      </c>
    </row>
    <row r="123" spans="1:17" ht="17.399999999999999" x14ac:dyDescent="0.4">
      <c r="A123" s="17">
        <v>2024</v>
      </c>
      <c r="B123" s="10">
        <v>3</v>
      </c>
      <c r="C123" s="47">
        <v>377190</v>
      </c>
      <c r="D123" s="18">
        <v>3456470990</v>
      </c>
      <c r="E123" s="18">
        <v>4625784000</v>
      </c>
      <c r="F123" s="18"/>
      <c r="G123" s="18"/>
      <c r="H123" s="18"/>
      <c r="I123" s="18"/>
      <c r="J123" s="18">
        <v>2384640936</v>
      </c>
      <c r="K123" s="18"/>
      <c r="L123" s="31">
        <f t="shared" si="5"/>
        <v>5697614054</v>
      </c>
      <c r="M123" s="36">
        <f t="shared" si="6"/>
        <v>-8.1275201309995659E-2</v>
      </c>
      <c r="N123" s="10">
        <v>377190</v>
      </c>
      <c r="O123" s="39"/>
      <c r="P123" s="18">
        <v>8887000000</v>
      </c>
      <c r="Q123" s="18">
        <v>138</v>
      </c>
    </row>
    <row r="124" spans="1:17" ht="17.399999999999999" x14ac:dyDescent="0.4">
      <c r="A124" s="17">
        <v>2024</v>
      </c>
      <c r="B124" s="10">
        <v>9</v>
      </c>
      <c r="C124" s="47">
        <v>377190</v>
      </c>
      <c r="D124" s="18">
        <v>2814924624</v>
      </c>
      <c r="E124" s="18">
        <v>4627886000</v>
      </c>
      <c r="F124" s="18"/>
      <c r="G124" s="18"/>
      <c r="H124" s="18"/>
      <c r="I124" s="18"/>
      <c r="J124" s="18">
        <v>2283147157</v>
      </c>
      <c r="K124" s="18"/>
      <c r="L124" s="31">
        <f t="shared" si="5"/>
        <v>5159663467</v>
      </c>
      <c r="M124" s="36">
        <f t="shared" si="6"/>
        <v>-9.4416817619005444E-2</v>
      </c>
      <c r="N124" s="10">
        <v>377190</v>
      </c>
      <c r="O124" s="39"/>
      <c r="P124" s="18">
        <v>8952000000</v>
      </c>
      <c r="Q124" s="18">
        <v>139</v>
      </c>
    </row>
    <row r="125" spans="1:17" s="22" customFormat="1" ht="18" thickBot="1" x14ac:dyDescent="0.45">
      <c r="A125" s="19">
        <v>2025</v>
      </c>
      <c r="B125" s="20">
        <v>3</v>
      </c>
      <c r="C125" s="48">
        <v>377190</v>
      </c>
      <c r="D125" s="21">
        <v>4067206754</v>
      </c>
      <c r="E125" s="21">
        <v>4756698000</v>
      </c>
      <c r="F125" s="21"/>
      <c r="G125" s="21"/>
      <c r="H125" s="21"/>
      <c r="I125" s="21"/>
      <c r="J125" s="21">
        <v>2406757300</v>
      </c>
      <c r="K125" s="21"/>
      <c r="L125" s="32">
        <f t="shared" si="5"/>
        <v>6417147454</v>
      </c>
      <c r="M125" s="37">
        <f t="shared" si="6"/>
        <v>0.24371434203850173</v>
      </c>
      <c r="N125" s="20">
        <v>377190</v>
      </c>
      <c r="O125" s="41" t="s">
        <v>121</v>
      </c>
      <c r="P125" s="21">
        <v>11138000000</v>
      </c>
      <c r="Q125" s="21">
        <v>126</v>
      </c>
    </row>
    <row r="126" spans="1:17" ht="17.399999999999999" x14ac:dyDescent="0.4">
      <c r="A126" s="10">
        <v>2021</v>
      </c>
      <c r="B126" s="10">
        <v>12</v>
      </c>
      <c r="C126" s="49">
        <v>395400</v>
      </c>
      <c r="D126" s="12">
        <v>15052398236</v>
      </c>
      <c r="E126" s="12">
        <v>4068818000</v>
      </c>
      <c r="F126" s="12">
        <v>0</v>
      </c>
      <c r="G126" s="12">
        <v>0</v>
      </c>
      <c r="H126" s="12"/>
      <c r="I126" s="12"/>
      <c r="J126" s="12"/>
      <c r="K126" s="12"/>
      <c r="L126" s="29">
        <f t="shared" si="5"/>
        <v>19121216236</v>
      </c>
      <c r="M126" s="34">
        <f t="shared" si="6"/>
        <v>1.9797065398709472</v>
      </c>
      <c r="N126" s="10">
        <v>395400</v>
      </c>
      <c r="O126" s="39"/>
      <c r="P126" s="12">
        <v>19121000000</v>
      </c>
      <c r="Q126" s="12">
        <v>123</v>
      </c>
    </row>
    <row r="127" spans="1:17" ht="17.399999999999999" x14ac:dyDescent="0.4">
      <c r="A127" s="10">
        <v>2022</v>
      </c>
      <c r="B127" s="10">
        <v>6</v>
      </c>
      <c r="C127" s="49">
        <v>395400</v>
      </c>
      <c r="D127" s="12">
        <v>17935714081</v>
      </c>
      <c r="E127" s="12">
        <v>4153340000</v>
      </c>
      <c r="F127" s="12">
        <v>0</v>
      </c>
      <c r="G127" s="12">
        <v>0</v>
      </c>
      <c r="H127" s="12"/>
      <c r="I127" s="12"/>
      <c r="J127" s="12"/>
      <c r="K127" s="12"/>
      <c r="L127" s="29">
        <f t="shared" si="5"/>
        <v>22089054081</v>
      </c>
      <c r="M127" s="34">
        <f t="shared" si="6"/>
        <v>0.1552117714882788</v>
      </c>
      <c r="N127" s="10">
        <v>395400</v>
      </c>
      <c r="O127" s="39"/>
      <c r="P127" s="12">
        <v>22032000000</v>
      </c>
      <c r="Q127" s="12">
        <v>141</v>
      </c>
    </row>
    <row r="128" spans="1:17" ht="17.399999999999999" x14ac:dyDescent="0.4">
      <c r="A128" s="10">
        <v>2022</v>
      </c>
      <c r="B128" s="10">
        <v>12</v>
      </c>
      <c r="C128" s="49">
        <v>395400</v>
      </c>
      <c r="D128" s="12">
        <v>10996471286</v>
      </c>
      <c r="E128" s="12">
        <v>8722417000</v>
      </c>
      <c r="F128" s="12">
        <v>0</v>
      </c>
      <c r="G128" s="12">
        <v>0</v>
      </c>
      <c r="H128" s="12"/>
      <c r="I128" s="12"/>
      <c r="J128" s="12"/>
      <c r="K128" s="12"/>
      <c r="L128" s="29">
        <f t="shared" si="5"/>
        <v>19718888286</v>
      </c>
      <c r="M128" s="34">
        <f t="shared" si="6"/>
        <v>-0.10730046593705023</v>
      </c>
      <c r="N128" s="10">
        <v>395400</v>
      </c>
      <c r="O128" s="39" t="s">
        <v>127</v>
      </c>
      <c r="P128" s="12">
        <v>25946000000</v>
      </c>
      <c r="Q128" s="12">
        <v>132</v>
      </c>
    </row>
    <row r="129" spans="1:17" ht="17.399999999999999" x14ac:dyDescent="0.4">
      <c r="A129" s="10">
        <v>2023</v>
      </c>
      <c r="B129" s="10">
        <v>6</v>
      </c>
      <c r="C129" s="49">
        <v>395400</v>
      </c>
      <c r="D129" s="12">
        <v>7151316908</v>
      </c>
      <c r="E129" s="12">
        <v>9366808000</v>
      </c>
      <c r="F129" s="12">
        <v>0</v>
      </c>
      <c r="G129" s="12">
        <v>0</v>
      </c>
      <c r="H129" s="12"/>
      <c r="I129" s="12"/>
      <c r="J129" s="12"/>
      <c r="K129" s="12"/>
      <c r="L129" s="29">
        <f t="shared" si="5"/>
        <v>16518124908</v>
      </c>
      <c r="M129" s="34">
        <f t="shared" si="6"/>
        <v>-0.16231966688875032</v>
      </c>
      <c r="N129" s="10">
        <v>395400</v>
      </c>
      <c r="O129" s="39"/>
      <c r="P129" s="12">
        <v>25946000000</v>
      </c>
      <c r="Q129" s="12">
        <v>132</v>
      </c>
    </row>
    <row r="130" spans="1:17" ht="17.399999999999999" x14ac:dyDescent="0.4">
      <c r="A130" s="10">
        <v>2023</v>
      </c>
      <c r="B130" s="10">
        <v>12</v>
      </c>
      <c r="C130" s="49">
        <v>395400</v>
      </c>
      <c r="D130" s="12">
        <v>17542958867</v>
      </c>
      <c r="E130" s="12">
        <v>17154962000</v>
      </c>
      <c r="F130" s="12">
        <v>14584190000</v>
      </c>
      <c r="G130" s="12"/>
      <c r="H130" s="12"/>
      <c r="I130" s="12"/>
      <c r="J130" s="12"/>
      <c r="K130" s="12">
        <f>1285696000-636309000</f>
        <v>649387000</v>
      </c>
      <c r="L130" s="29">
        <f t="shared" si="5"/>
        <v>20763117867</v>
      </c>
      <c r="M130" s="34">
        <f t="shared" si="6"/>
        <v>0.25699000235456992</v>
      </c>
      <c r="N130" s="10">
        <v>395400</v>
      </c>
      <c r="O130" s="39" t="s">
        <v>128</v>
      </c>
      <c r="P130" s="12">
        <v>42468000000</v>
      </c>
      <c r="Q130" s="12">
        <v>182</v>
      </c>
    </row>
    <row r="131" spans="1:17" ht="17.399999999999999" x14ac:dyDescent="0.4">
      <c r="A131" s="10">
        <v>2024</v>
      </c>
      <c r="B131" s="10">
        <v>6</v>
      </c>
      <c r="C131" s="49">
        <v>395400</v>
      </c>
      <c r="D131" s="12">
        <v>8902883348</v>
      </c>
      <c r="E131" s="12">
        <v>23659016000</v>
      </c>
      <c r="F131" s="12">
        <v>0</v>
      </c>
      <c r="G131" s="12">
        <v>0</v>
      </c>
      <c r="H131" s="12"/>
      <c r="I131" s="12"/>
      <c r="J131" s="12"/>
      <c r="K131" s="12"/>
      <c r="L131" s="29">
        <f t="shared" si="5"/>
        <v>32561899348</v>
      </c>
      <c r="M131" s="34">
        <f t="shared" si="6"/>
        <v>0.56825673083291939</v>
      </c>
      <c r="N131" s="10">
        <v>395400</v>
      </c>
      <c r="O131" s="39" t="s">
        <v>126</v>
      </c>
      <c r="P131" s="12">
        <v>35658000000</v>
      </c>
      <c r="Q131" s="12">
        <v>132</v>
      </c>
    </row>
    <row r="132" spans="1:17" ht="17.399999999999999" x14ac:dyDescent="0.4">
      <c r="A132" s="10">
        <v>2024</v>
      </c>
      <c r="B132" s="10">
        <v>12</v>
      </c>
      <c r="C132" s="49">
        <v>395400</v>
      </c>
      <c r="D132" s="12">
        <v>-227105056</v>
      </c>
      <c r="E132" s="12">
        <v>23981134000</v>
      </c>
      <c r="F132" s="12">
        <v>1387136000</v>
      </c>
      <c r="G132" s="12"/>
      <c r="H132" s="12"/>
      <c r="I132" s="12"/>
      <c r="J132" s="12"/>
      <c r="K132" s="12"/>
      <c r="L132" s="29">
        <f t="shared" si="5"/>
        <v>22366892944</v>
      </c>
      <c r="M132" s="34">
        <f t="shared" si="6"/>
        <v>-0.31309618321224231</v>
      </c>
      <c r="N132" s="10">
        <v>395400</v>
      </c>
      <c r="O132" s="39" t="s">
        <v>129</v>
      </c>
      <c r="P132" s="12">
        <v>36008000000</v>
      </c>
      <c r="Q132" s="12">
        <v>132</v>
      </c>
    </row>
    <row r="133" spans="1:17" ht="18" thickBot="1" x14ac:dyDescent="0.45">
      <c r="A133" s="10">
        <v>2025</v>
      </c>
      <c r="B133" s="10">
        <v>6</v>
      </c>
      <c r="C133" s="49">
        <v>395400</v>
      </c>
      <c r="D133" s="12">
        <f>30116559104+32598455360</f>
        <v>62715014464</v>
      </c>
      <c r="E133" s="12"/>
      <c r="F133" s="12">
        <v>0</v>
      </c>
      <c r="G133" s="12">
        <v>1342113000</v>
      </c>
      <c r="H133" s="12">
        <f>14578999000+19453582000</f>
        <v>34032581000</v>
      </c>
      <c r="I133" s="12">
        <v>17606000</v>
      </c>
      <c r="J133" s="12"/>
      <c r="K133" s="12"/>
      <c r="L133" s="29">
        <f t="shared" si="5"/>
        <v>30042152464</v>
      </c>
      <c r="M133" s="34">
        <f t="shared" si="6"/>
        <v>0.34315269175815133</v>
      </c>
      <c r="N133" s="10">
        <v>395400</v>
      </c>
      <c r="O133" s="39" t="s">
        <v>130</v>
      </c>
      <c r="P133" s="12">
        <v>38530000000</v>
      </c>
      <c r="Q133" s="12">
        <v>136</v>
      </c>
    </row>
    <row r="134" spans="1:17" s="16" customFormat="1" ht="17.399999999999999" x14ac:dyDescent="0.4">
      <c r="A134" s="13">
        <v>2022</v>
      </c>
      <c r="B134" s="14">
        <v>9</v>
      </c>
      <c r="C134" s="46">
        <v>396690</v>
      </c>
      <c r="D134" s="15">
        <v>2002523400</v>
      </c>
      <c r="E134" s="15">
        <v>3004619000</v>
      </c>
      <c r="F134" s="15">
        <v>0</v>
      </c>
      <c r="G134" s="15">
        <v>0</v>
      </c>
      <c r="H134" s="15"/>
      <c r="I134" s="15"/>
      <c r="J134" s="15">
        <v>24420000</v>
      </c>
      <c r="K134" s="15">
        <v>10122000</v>
      </c>
      <c r="L134" s="30">
        <f t="shared" si="5"/>
        <v>4992844400</v>
      </c>
      <c r="M134" s="35">
        <f t="shared" si="6"/>
        <v>-0.83380537043798686</v>
      </c>
      <c r="N134" s="14">
        <v>396690</v>
      </c>
      <c r="O134" s="40"/>
      <c r="P134" s="15">
        <v>4308000000</v>
      </c>
      <c r="Q134" s="15">
        <v>148</v>
      </c>
    </row>
    <row r="135" spans="1:17" ht="17.399999999999999" x14ac:dyDescent="0.4">
      <c r="A135" s="17">
        <v>2023</v>
      </c>
      <c r="B135" s="10">
        <v>3</v>
      </c>
      <c r="C135" s="47">
        <v>396690</v>
      </c>
      <c r="D135" s="18">
        <v>7621711500</v>
      </c>
      <c r="E135" s="18">
        <v>3049928000</v>
      </c>
      <c r="F135" s="18">
        <v>0</v>
      </c>
      <c r="G135" s="18">
        <v>0</v>
      </c>
      <c r="H135" s="18">
        <v>6512354000</v>
      </c>
      <c r="I135" s="18"/>
      <c r="J135" s="18">
        <v>55607000</v>
      </c>
      <c r="K135" s="18">
        <f>1067023000+88504000</f>
        <v>1155527000</v>
      </c>
      <c r="L135" s="31">
        <f t="shared" si="5"/>
        <v>5259205500</v>
      </c>
      <c r="M135" s="36">
        <f t="shared" si="6"/>
        <v>5.3348568202926661E-2</v>
      </c>
      <c r="N135" s="10">
        <v>396690</v>
      </c>
      <c r="O135" s="39"/>
      <c r="P135" s="18">
        <v>4478000000</v>
      </c>
      <c r="Q135" s="18">
        <v>154</v>
      </c>
    </row>
    <row r="136" spans="1:17" ht="17.399999999999999" x14ac:dyDescent="0.4">
      <c r="A136" s="17">
        <v>2023</v>
      </c>
      <c r="B136" s="10">
        <v>9</v>
      </c>
      <c r="C136" s="47">
        <v>396690</v>
      </c>
      <c r="D136" s="18">
        <v>2459646411</v>
      </c>
      <c r="E136" s="18">
        <v>3036143000</v>
      </c>
      <c r="F136" s="18">
        <v>0</v>
      </c>
      <c r="G136" s="18">
        <v>0</v>
      </c>
      <c r="H136" s="18">
        <v>1060411000</v>
      </c>
      <c r="I136" s="18"/>
      <c r="J136" s="18">
        <v>47323000</v>
      </c>
      <c r="K136" s="18">
        <f>651728000+39962000</f>
        <v>691690000</v>
      </c>
      <c r="L136" s="31">
        <f t="shared" si="5"/>
        <v>5079745411</v>
      </c>
      <c r="M136" s="36">
        <f t="shared" si="6"/>
        <v>-3.4123041778839069E-2</v>
      </c>
      <c r="N136" s="10">
        <v>396690</v>
      </c>
      <c r="O136" s="39"/>
      <c r="P136" s="18">
        <v>4359000000</v>
      </c>
      <c r="Q136" s="18">
        <v>150</v>
      </c>
    </row>
    <row r="137" spans="1:17" ht="17.399999999999999" x14ac:dyDescent="0.4">
      <c r="A137" s="17">
        <v>2024</v>
      </c>
      <c r="B137" s="10">
        <v>3</v>
      </c>
      <c r="C137" s="47">
        <v>396690</v>
      </c>
      <c r="D137" s="18">
        <v>-1297195149</v>
      </c>
      <c r="E137" s="18">
        <v>3064105000</v>
      </c>
      <c r="F137" s="18">
        <v>0</v>
      </c>
      <c r="G137" s="18">
        <v>0</v>
      </c>
      <c r="H137" s="18"/>
      <c r="I137" s="18">
        <v>1598382000</v>
      </c>
      <c r="J137" s="18">
        <v>841989000</v>
      </c>
      <c r="K137" s="18"/>
      <c r="L137" s="31">
        <f t="shared" si="5"/>
        <v>2523302851</v>
      </c>
      <c r="M137" s="36">
        <f t="shared" si="6"/>
        <v>-0.50326194585738859</v>
      </c>
      <c r="N137" s="10">
        <v>396690</v>
      </c>
      <c r="O137" s="39" t="s">
        <v>131</v>
      </c>
      <c r="P137" s="18">
        <v>4755000000</v>
      </c>
      <c r="Q137" s="18">
        <v>120</v>
      </c>
    </row>
    <row r="138" spans="1:17" ht="17.399999999999999" x14ac:dyDescent="0.4">
      <c r="A138" s="17">
        <v>2024</v>
      </c>
      <c r="B138" s="10">
        <v>9</v>
      </c>
      <c r="C138" s="47">
        <v>396690</v>
      </c>
      <c r="D138" s="18">
        <v>-793221925</v>
      </c>
      <c r="E138" s="18">
        <v>3161014000</v>
      </c>
      <c r="F138" s="18">
        <v>0</v>
      </c>
      <c r="G138" s="18">
        <v>0</v>
      </c>
      <c r="H138" s="18"/>
      <c r="I138" s="18">
        <v>2522395000</v>
      </c>
      <c r="J138" s="18">
        <v>919418000</v>
      </c>
      <c r="K138" s="18"/>
      <c r="L138" s="31">
        <f t="shared" si="5"/>
        <v>3970769075</v>
      </c>
      <c r="M138" s="36">
        <f t="shared" si="6"/>
        <v>0.57363951514038858</v>
      </c>
      <c r="N138" s="10">
        <v>396690</v>
      </c>
      <c r="O138" s="39" t="s">
        <v>131</v>
      </c>
      <c r="P138" s="18">
        <v>5245000000</v>
      </c>
      <c r="Q138" s="18">
        <v>132</v>
      </c>
    </row>
    <row r="139" spans="1:17" s="22" customFormat="1" ht="18" thickBot="1" x14ac:dyDescent="0.45">
      <c r="A139" s="19">
        <v>2025</v>
      </c>
      <c r="B139" s="20">
        <v>3</v>
      </c>
      <c r="C139" s="48">
        <v>396690</v>
      </c>
      <c r="D139" s="21">
        <v>1313515109</v>
      </c>
      <c r="E139" s="21">
        <v>3298349000</v>
      </c>
      <c r="F139" s="21">
        <v>0</v>
      </c>
      <c r="G139" s="21">
        <v>0</v>
      </c>
      <c r="H139" s="21"/>
      <c r="I139" s="21">
        <v>453159000</v>
      </c>
      <c r="J139" s="21">
        <v>975343000</v>
      </c>
      <c r="K139" s="21"/>
      <c r="L139" s="32">
        <f t="shared" si="5"/>
        <v>4089680109</v>
      </c>
      <c r="M139" s="37">
        <f t="shared" si="6"/>
        <v>2.9946600206157692E-2</v>
      </c>
      <c r="N139" s="20">
        <v>396690</v>
      </c>
      <c r="O139" s="41" t="s">
        <v>132</v>
      </c>
      <c r="P139" s="21">
        <v>5618000000</v>
      </c>
      <c r="Q139" s="21">
        <v>142</v>
      </c>
    </row>
    <row r="140" spans="1:17" ht="17.399999999999999" x14ac:dyDescent="0.4">
      <c r="A140" s="10">
        <v>2021</v>
      </c>
      <c r="B140" s="10">
        <v>12</v>
      </c>
      <c r="C140" s="49">
        <v>400760</v>
      </c>
      <c r="D140" s="12">
        <v>1507866029</v>
      </c>
      <c r="E140" s="12">
        <v>2667583927</v>
      </c>
      <c r="F140" s="12">
        <v>0</v>
      </c>
      <c r="G140" s="12">
        <v>0</v>
      </c>
      <c r="H140" s="12"/>
      <c r="I140" s="12"/>
      <c r="J140" s="12"/>
      <c r="K140" s="12"/>
      <c r="L140" s="29">
        <f t="shared" si="5"/>
        <v>4175449956</v>
      </c>
      <c r="M140" s="34">
        <f t="shared" si="6"/>
        <v>2.0972263041123762E-2</v>
      </c>
      <c r="N140" s="10">
        <v>400760</v>
      </c>
      <c r="O140" s="39"/>
      <c r="P140" s="12">
        <v>4492000000</v>
      </c>
      <c r="Q140" s="12">
        <v>106</v>
      </c>
    </row>
    <row r="141" spans="1:17" ht="17.399999999999999" x14ac:dyDescent="0.4">
      <c r="A141" s="10">
        <v>2022</v>
      </c>
      <c r="B141" s="10">
        <v>6</v>
      </c>
      <c r="C141" s="49">
        <v>400760</v>
      </c>
      <c r="D141" s="12">
        <v>3489896271</v>
      </c>
      <c r="E141" s="12">
        <v>2678592060</v>
      </c>
      <c r="F141" s="12">
        <v>0</v>
      </c>
      <c r="G141" s="12">
        <v>0</v>
      </c>
      <c r="H141" s="12"/>
      <c r="I141" s="12"/>
      <c r="J141" s="12"/>
      <c r="K141" s="12"/>
      <c r="L141" s="29">
        <f t="shared" si="5"/>
        <v>6168488331</v>
      </c>
      <c r="M141" s="34">
        <f t="shared" si="6"/>
        <v>0.47732301811833766</v>
      </c>
      <c r="N141" s="10">
        <v>400760</v>
      </c>
      <c r="O141" s="39"/>
      <c r="P141" s="12">
        <v>6499000000</v>
      </c>
      <c r="Q141" s="12">
        <v>154</v>
      </c>
    </row>
    <row r="142" spans="1:17" ht="17.399999999999999" x14ac:dyDescent="0.4">
      <c r="A142" s="10">
        <v>2022</v>
      </c>
      <c r="B142" s="10">
        <v>12</v>
      </c>
      <c r="C142" s="49">
        <v>400760</v>
      </c>
      <c r="D142" s="12">
        <v>3854948486</v>
      </c>
      <c r="E142" s="12">
        <v>3444061445</v>
      </c>
      <c r="F142" s="12">
        <v>0</v>
      </c>
      <c r="G142" s="12">
        <v>0</v>
      </c>
      <c r="H142" s="12"/>
      <c r="I142" s="12"/>
      <c r="J142" s="12"/>
      <c r="K142" s="12"/>
      <c r="L142" s="29">
        <f t="shared" si="5"/>
        <v>7299009931</v>
      </c>
      <c r="M142" s="34">
        <f t="shared" si="6"/>
        <v>0.18327368705854807</v>
      </c>
      <c r="N142" s="10">
        <v>400760</v>
      </c>
      <c r="O142" s="39"/>
      <c r="P142" s="12">
        <v>6836000000</v>
      </c>
      <c r="Q142" s="12">
        <v>162</v>
      </c>
    </row>
    <row r="143" spans="1:17" ht="17.399999999999999" x14ac:dyDescent="0.4">
      <c r="A143" s="10">
        <v>2023</v>
      </c>
      <c r="B143" s="10">
        <v>6</v>
      </c>
      <c r="C143" s="49">
        <v>400760</v>
      </c>
      <c r="D143" s="12">
        <v>531620247</v>
      </c>
      <c r="E143" s="12">
        <v>3595931000</v>
      </c>
      <c r="F143" s="12">
        <v>0</v>
      </c>
      <c r="G143" s="12">
        <v>0</v>
      </c>
      <c r="H143" s="12"/>
      <c r="I143" s="12"/>
      <c r="J143" s="12"/>
      <c r="K143" s="12"/>
      <c r="L143" s="29">
        <f t="shared" si="5"/>
        <v>4127551247</v>
      </c>
      <c r="M143" s="34">
        <f t="shared" si="6"/>
        <v>-0.43450532524011709</v>
      </c>
      <c r="N143" s="10">
        <v>400760</v>
      </c>
      <c r="O143" s="39" t="s">
        <v>133</v>
      </c>
      <c r="P143" s="12">
        <v>5824000000</v>
      </c>
      <c r="Q143" s="12">
        <v>138</v>
      </c>
    </row>
    <row r="144" spans="1:17" ht="17.399999999999999" x14ac:dyDescent="0.4">
      <c r="A144" s="10">
        <v>2023</v>
      </c>
      <c r="B144" s="10">
        <v>12</v>
      </c>
      <c r="C144" s="49">
        <v>400760</v>
      </c>
      <c r="D144" s="12">
        <v>1981830106</v>
      </c>
      <c r="E144" s="12">
        <v>3207690000</v>
      </c>
      <c r="F144" s="12">
        <v>0</v>
      </c>
      <c r="G144" s="12">
        <v>0</v>
      </c>
      <c r="H144" s="12"/>
      <c r="I144" s="12"/>
      <c r="J144" s="12"/>
      <c r="K144" s="12"/>
      <c r="L144" s="29">
        <f t="shared" si="5"/>
        <v>5189520106</v>
      </c>
      <c r="M144" s="34">
        <f t="shared" si="6"/>
        <v>0.2572878676604835</v>
      </c>
      <c r="N144" s="10">
        <v>400760</v>
      </c>
      <c r="O144" s="39"/>
      <c r="P144" s="12">
        <v>6330000000</v>
      </c>
      <c r="Q144" s="12">
        <v>150</v>
      </c>
    </row>
    <row r="145" spans="1:17" ht="17.399999999999999" x14ac:dyDescent="0.4">
      <c r="A145" s="10">
        <v>2024</v>
      </c>
      <c r="B145" s="10">
        <v>6</v>
      </c>
      <c r="C145" s="49">
        <v>400760</v>
      </c>
      <c r="D145" s="12">
        <v>4039520387</v>
      </c>
      <c r="E145" s="12">
        <v>3161456000</v>
      </c>
      <c r="F145" s="12">
        <v>0</v>
      </c>
      <c r="G145" s="12">
        <v>0</v>
      </c>
      <c r="H145" s="12"/>
      <c r="I145" s="12"/>
      <c r="J145" s="12"/>
      <c r="K145" s="12"/>
      <c r="L145" s="29">
        <f t="shared" si="5"/>
        <v>7200976387</v>
      </c>
      <c r="M145" s="34">
        <f t="shared" si="6"/>
        <v>0.3875996700878761</v>
      </c>
      <c r="N145" s="10">
        <v>400760</v>
      </c>
      <c r="O145" s="39" t="s">
        <v>134</v>
      </c>
      <c r="P145" s="12">
        <v>5908000000</v>
      </c>
      <c r="Q145" s="12">
        <v>140</v>
      </c>
    </row>
    <row r="146" spans="1:17" ht="17.399999999999999" x14ac:dyDescent="0.4">
      <c r="A146" s="10">
        <v>2024</v>
      </c>
      <c r="B146" s="10">
        <v>12</v>
      </c>
      <c r="C146" s="49">
        <v>400760</v>
      </c>
      <c r="D146" s="12">
        <v>-1053814925</v>
      </c>
      <c r="E146" s="12">
        <v>3200680000</v>
      </c>
      <c r="F146" s="12">
        <v>0</v>
      </c>
      <c r="G146" s="12">
        <v>0</v>
      </c>
      <c r="H146" s="12"/>
      <c r="I146" s="12"/>
      <c r="J146" s="12"/>
      <c r="K146" s="12"/>
      <c r="L146" s="29">
        <f t="shared" si="5"/>
        <v>2146865075</v>
      </c>
      <c r="M146" s="34">
        <f t="shared" si="6"/>
        <v>-0.70186472505648556</v>
      </c>
      <c r="N146" s="10">
        <v>400760</v>
      </c>
      <c r="O146" s="39" t="s">
        <v>135</v>
      </c>
      <c r="P146" s="12">
        <v>8754000000</v>
      </c>
      <c r="Q146" s="12">
        <v>200</v>
      </c>
    </row>
    <row r="147" spans="1:17" ht="18" thickBot="1" x14ac:dyDescent="0.45">
      <c r="A147" s="10">
        <v>2025</v>
      </c>
      <c r="B147" s="10">
        <v>6</v>
      </c>
      <c r="C147" s="49">
        <v>400760</v>
      </c>
      <c r="D147" s="12">
        <v>-731827959</v>
      </c>
      <c r="E147" s="12">
        <v>3364259000</v>
      </c>
      <c r="F147" s="12">
        <v>0</v>
      </c>
      <c r="G147" s="12">
        <v>0</v>
      </c>
      <c r="H147" s="12"/>
      <c r="I147" s="12"/>
      <c r="J147" s="12"/>
      <c r="K147" s="12"/>
      <c r="L147" s="29">
        <f t="shared" si="5"/>
        <v>2632431041</v>
      </c>
      <c r="M147" s="34">
        <f t="shared" si="6"/>
        <v>0.22617442132454468</v>
      </c>
      <c r="N147" s="10">
        <v>400760</v>
      </c>
      <c r="O147" s="39"/>
      <c r="P147" s="12">
        <v>7441000000</v>
      </c>
      <c r="Q147" s="12">
        <v>170</v>
      </c>
    </row>
    <row r="148" spans="1:17" s="16" customFormat="1" ht="17.399999999999999" x14ac:dyDescent="0.4">
      <c r="A148" s="13">
        <v>2021</v>
      </c>
      <c r="B148" s="14">
        <v>6</v>
      </c>
      <c r="C148" s="46">
        <v>404990</v>
      </c>
      <c r="D148" s="15">
        <v>-347931693</v>
      </c>
      <c r="E148" s="15">
        <v>3497519000</v>
      </c>
      <c r="F148" s="15">
        <v>0</v>
      </c>
      <c r="G148" s="15">
        <v>0</v>
      </c>
      <c r="H148" s="15"/>
      <c r="I148" s="15"/>
      <c r="J148" s="15"/>
      <c r="K148" s="15"/>
      <c r="L148" s="30">
        <f t="shared" si="5"/>
        <v>3149587307</v>
      </c>
      <c r="M148" s="35">
        <f t="shared" si="6"/>
        <v>0.19645576957014765</v>
      </c>
      <c r="N148" s="14">
        <v>404990</v>
      </c>
      <c r="O148" s="40"/>
      <c r="P148" s="15">
        <v>3477000000</v>
      </c>
      <c r="Q148" s="15">
        <v>120</v>
      </c>
    </row>
    <row r="149" spans="1:17" ht="17.399999999999999" x14ac:dyDescent="0.4">
      <c r="A149" s="17">
        <v>2021</v>
      </c>
      <c r="B149" s="10">
        <v>12</v>
      </c>
      <c r="C149" s="49">
        <v>404990</v>
      </c>
      <c r="D149" s="18">
        <v>1653483263</v>
      </c>
      <c r="E149" s="18">
        <v>3625769000</v>
      </c>
      <c r="F149" s="18">
        <v>0</v>
      </c>
      <c r="G149" s="18">
        <v>0</v>
      </c>
      <c r="H149" s="18"/>
      <c r="I149" s="18"/>
      <c r="J149" s="18"/>
      <c r="K149" s="18"/>
      <c r="L149" s="31">
        <f t="shared" si="5"/>
        <v>5279252263</v>
      </c>
      <c r="M149" s="36">
        <f t="shared" si="6"/>
        <v>0.67617270086998094</v>
      </c>
      <c r="N149" s="10">
        <v>404990</v>
      </c>
      <c r="O149" s="39" t="s">
        <v>136</v>
      </c>
      <c r="P149" s="18">
        <v>4980000000</v>
      </c>
      <c r="Q149" s="18">
        <v>89</v>
      </c>
    </row>
    <row r="150" spans="1:17" ht="17.399999999999999" x14ac:dyDescent="0.4">
      <c r="A150" s="17">
        <v>2022</v>
      </c>
      <c r="B150" s="10">
        <v>6</v>
      </c>
      <c r="C150" s="49">
        <v>404990</v>
      </c>
      <c r="D150" s="18">
        <v>3321786667</v>
      </c>
      <c r="E150" s="18">
        <v>4405441000</v>
      </c>
      <c r="F150" s="18">
        <v>0</v>
      </c>
      <c r="G150" s="18">
        <v>0</v>
      </c>
      <c r="H150" s="18"/>
      <c r="I150" s="18"/>
      <c r="J150" s="18"/>
      <c r="K150" s="18"/>
      <c r="L150" s="31">
        <f t="shared" si="5"/>
        <v>7727227667</v>
      </c>
      <c r="M150" s="36">
        <f t="shared" si="6"/>
        <v>0.46369737266711097</v>
      </c>
      <c r="N150" s="10">
        <v>404990</v>
      </c>
      <c r="O150" s="39"/>
      <c r="P150" s="18">
        <v>8729000000</v>
      </c>
      <c r="Q150" s="18">
        <v>156</v>
      </c>
    </row>
    <row r="151" spans="1:17" ht="17.399999999999999" x14ac:dyDescent="0.4">
      <c r="A151" s="17">
        <v>2022</v>
      </c>
      <c r="B151" s="10">
        <v>12</v>
      </c>
      <c r="C151" s="49">
        <v>404990</v>
      </c>
      <c r="D151" s="18">
        <v>5439414713</v>
      </c>
      <c r="E151" s="18">
        <v>4323033000</v>
      </c>
      <c r="F151" s="18">
        <v>0</v>
      </c>
      <c r="G151" s="18">
        <v>0</v>
      </c>
      <c r="H151" s="18"/>
      <c r="I151" s="18"/>
      <c r="J151" s="18"/>
      <c r="K151" s="18"/>
      <c r="L151" s="31">
        <f t="shared" si="5"/>
        <v>9762447713</v>
      </c>
      <c r="M151" s="36">
        <f t="shared" si="6"/>
        <v>0.26338295359041086</v>
      </c>
      <c r="N151" s="10">
        <v>404990</v>
      </c>
      <c r="O151" s="39"/>
      <c r="P151" s="18">
        <v>8953000000</v>
      </c>
      <c r="Q151" s="18">
        <v>160</v>
      </c>
    </row>
    <row r="152" spans="1:17" ht="17.399999999999999" x14ac:dyDescent="0.4">
      <c r="A152" s="17">
        <v>2023</v>
      </c>
      <c r="B152" s="10">
        <v>6</v>
      </c>
      <c r="C152" s="49">
        <v>404990</v>
      </c>
      <c r="D152" s="18">
        <v>4503444459</v>
      </c>
      <c r="E152" s="18">
        <v>4109904000</v>
      </c>
      <c r="F152" s="18">
        <v>0</v>
      </c>
      <c r="G152" s="18">
        <v>0</v>
      </c>
      <c r="H152" s="18"/>
      <c r="I152" s="18"/>
      <c r="J152" s="18"/>
      <c r="K152" s="18"/>
      <c r="L152" s="31">
        <f t="shared" si="5"/>
        <v>8613348459</v>
      </c>
      <c r="M152" s="36">
        <f t="shared" si="6"/>
        <v>-0.11770605976919302</v>
      </c>
      <c r="N152" s="10">
        <v>404990</v>
      </c>
      <c r="O152" s="39"/>
      <c r="P152" s="18">
        <v>8393000000</v>
      </c>
      <c r="Q152" s="18">
        <v>150</v>
      </c>
    </row>
    <row r="153" spans="1:17" ht="17.399999999999999" x14ac:dyDescent="0.4">
      <c r="A153" s="17">
        <v>2023</v>
      </c>
      <c r="B153" s="10">
        <v>12</v>
      </c>
      <c r="C153" s="49">
        <v>404990</v>
      </c>
      <c r="D153" s="18">
        <v>5313300888</v>
      </c>
      <c r="E153" s="18">
        <v>4248532000</v>
      </c>
      <c r="F153" s="18">
        <v>0</v>
      </c>
      <c r="G153" s="18">
        <v>0</v>
      </c>
      <c r="H153" s="18"/>
      <c r="I153" s="18"/>
      <c r="J153" s="18"/>
      <c r="K153" s="18"/>
      <c r="L153" s="31">
        <f t="shared" si="5"/>
        <v>9561832888</v>
      </c>
      <c r="M153" s="36">
        <f t="shared" si="6"/>
        <v>0.11011796788610573</v>
      </c>
      <c r="N153" s="10">
        <v>404990</v>
      </c>
      <c r="O153" s="39" t="s">
        <v>121</v>
      </c>
      <c r="P153" s="18">
        <v>7833000000</v>
      </c>
      <c r="Q153" s="18">
        <v>140</v>
      </c>
    </row>
    <row r="154" spans="1:17" ht="17.399999999999999" x14ac:dyDescent="0.4">
      <c r="A154" s="17">
        <v>2024</v>
      </c>
      <c r="B154" s="10">
        <v>6</v>
      </c>
      <c r="C154" s="49">
        <v>404990</v>
      </c>
      <c r="D154" s="18">
        <v>-1117791230</v>
      </c>
      <c r="E154" s="18">
        <v>4319999791</v>
      </c>
      <c r="F154" s="18">
        <v>0</v>
      </c>
      <c r="G154" s="18">
        <v>0</v>
      </c>
      <c r="H154" s="18">
        <f>1808000000+806522862</f>
        <v>2614522862</v>
      </c>
      <c r="I154" s="18"/>
      <c r="J154" s="18"/>
      <c r="K154" s="18">
        <v>1396363183</v>
      </c>
      <c r="L154" s="31">
        <f t="shared" si="5"/>
        <v>1984048882</v>
      </c>
      <c r="M154" s="36">
        <f t="shared" si="6"/>
        <v>-0.7925032883088805</v>
      </c>
      <c r="N154" s="10">
        <v>404990</v>
      </c>
      <c r="O154" s="39" t="s">
        <v>104</v>
      </c>
      <c r="P154" s="18">
        <v>6603000000</v>
      </c>
      <c r="Q154" s="18">
        <v>118</v>
      </c>
    </row>
    <row r="155" spans="1:17" ht="17.399999999999999" x14ac:dyDescent="0.4">
      <c r="A155" s="17">
        <v>2024</v>
      </c>
      <c r="B155" s="10">
        <v>12</v>
      </c>
      <c r="C155" s="49">
        <v>404990</v>
      </c>
      <c r="D155" s="18">
        <v>10271178851</v>
      </c>
      <c r="E155" s="18">
        <v>4319999790</v>
      </c>
      <c r="F155" s="18">
        <v>0</v>
      </c>
      <c r="G155" s="18">
        <v>0</v>
      </c>
      <c r="H155" s="18">
        <f>4088000000+1177779418</f>
        <v>5265779418</v>
      </c>
      <c r="I155" s="18"/>
      <c r="J155" s="18">
        <v>218393793</v>
      </c>
      <c r="K155" s="18"/>
      <c r="L155" s="31">
        <f t="shared" si="5"/>
        <v>9107005430</v>
      </c>
      <c r="M155" s="36">
        <f t="shared" si="6"/>
        <v>3.5901114194423362</v>
      </c>
      <c r="N155" s="10">
        <v>404990</v>
      </c>
      <c r="O155" s="39" t="s">
        <v>104</v>
      </c>
      <c r="P155" s="18">
        <v>7274000000</v>
      </c>
      <c r="Q155" s="18">
        <v>130</v>
      </c>
    </row>
    <row r="156" spans="1:17" s="22" customFormat="1" ht="18" thickBot="1" x14ac:dyDescent="0.45">
      <c r="A156" s="19">
        <v>2025</v>
      </c>
      <c r="B156" s="20">
        <v>6</v>
      </c>
      <c r="C156" s="48">
        <v>404990</v>
      </c>
      <c r="D156" s="21">
        <v>-3670178085</v>
      </c>
      <c r="E156" s="21">
        <v>5343821162</v>
      </c>
      <c r="F156" s="21">
        <v>0</v>
      </c>
      <c r="G156" s="21">
        <v>0</v>
      </c>
      <c r="H156" s="21">
        <v>1158576493</v>
      </c>
      <c r="I156" s="21"/>
      <c r="J156" s="21"/>
      <c r="K156" s="21"/>
      <c r="L156" s="32">
        <f t="shared" si="5"/>
        <v>515066584</v>
      </c>
      <c r="M156" s="37">
        <f t="shared" si="6"/>
        <v>-0.94344281575771505</v>
      </c>
      <c r="N156" s="20">
        <v>404990</v>
      </c>
      <c r="O156" s="41" t="s">
        <v>137</v>
      </c>
      <c r="P156" s="21">
        <v>7313000000</v>
      </c>
      <c r="Q156" s="21">
        <v>130</v>
      </c>
    </row>
    <row r="157" spans="1:17" ht="17.399999999999999" x14ac:dyDescent="0.4">
      <c r="A157" s="10">
        <v>2024</v>
      </c>
      <c r="B157" s="10">
        <v>1</v>
      </c>
      <c r="C157" s="49">
        <v>432320</v>
      </c>
      <c r="D157" s="12">
        <v>51055242103</v>
      </c>
      <c r="E157" s="12">
        <v>7374468000</v>
      </c>
      <c r="F157" s="12"/>
      <c r="G157" s="12"/>
      <c r="H157" s="12">
        <v>39718013000</v>
      </c>
      <c r="I157" s="12"/>
      <c r="J157" s="12"/>
      <c r="K157" s="12"/>
      <c r="L157" s="29">
        <f t="shared" si="5"/>
        <v>18711697103</v>
      </c>
      <c r="M157" s="34">
        <f t="shared" si="6"/>
        <v>35.328695520655245</v>
      </c>
      <c r="N157" s="10">
        <v>432320</v>
      </c>
      <c r="O157" s="39"/>
      <c r="P157" s="12">
        <v>19066000000</v>
      </c>
      <c r="Q157" s="12">
        <v>188</v>
      </c>
    </row>
    <row r="158" spans="1:17" ht="17.399999999999999" x14ac:dyDescent="0.4">
      <c r="A158" s="10">
        <v>2024</v>
      </c>
      <c r="B158" s="10">
        <v>7</v>
      </c>
      <c r="C158" s="49">
        <v>432320</v>
      </c>
      <c r="D158" s="12">
        <v>-31791469834</v>
      </c>
      <c r="E158" s="12">
        <v>7955351000</v>
      </c>
      <c r="F158" s="12"/>
      <c r="G158" s="12"/>
      <c r="H158" s="12">
        <v>1377259180</v>
      </c>
      <c r="I158" s="12">
        <v>44142628162</v>
      </c>
      <c r="J158" s="12"/>
      <c r="K158" s="12"/>
      <c r="L158" s="29">
        <f t="shared" si="5"/>
        <v>18929250148</v>
      </c>
      <c r="M158" s="34">
        <f t="shared" si="6"/>
        <v>1.1626580090649208E-2</v>
      </c>
      <c r="N158" s="10">
        <v>432320</v>
      </c>
      <c r="O158" s="39" t="s">
        <v>138</v>
      </c>
      <c r="P158" s="12">
        <v>19066000000</v>
      </c>
      <c r="Q158" s="12">
        <v>188</v>
      </c>
    </row>
    <row r="159" spans="1:17" ht="17.399999999999999" x14ac:dyDescent="0.4">
      <c r="A159" s="10">
        <v>2025</v>
      </c>
      <c r="B159" s="10">
        <v>1</v>
      </c>
      <c r="C159" s="49">
        <v>432320</v>
      </c>
      <c r="D159" s="12">
        <v>18964573555</v>
      </c>
      <c r="E159" s="12">
        <v>7646938717</v>
      </c>
      <c r="F159" s="12"/>
      <c r="G159" s="12"/>
      <c r="H159" s="12">
        <v>8936030634</v>
      </c>
      <c r="I159" s="12"/>
      <c r="J159" s="12">
        <f>1060063279+64294437</f>
        <v>1124357716</v>
      </c>
      <c r="K159" s="12">
        <v>1582772</v>
      </c>
      <c r="L159" s="29">
        <f t="shared" si="5"/>
        <v>16552706694</v>
      </c>
      <c r="M159" s="34">
        <f t="shared" si="6"/>
        <v>-0.12554873729380656</v>
      </c>
      <c r="N159" s="10">
        <v>432320</v>
      </c>
      <c r="O159" s="39"/>
      <c r="P159" s="12">
        <v>18254000000</v>
      </c>
      <c r="Q159" s="12">
        <v>180</v>
      </c>
    </row>
    <row r="160" spans="1:17" ht="18" thickBot="1" x14ac:dyDescent="0.45">
      <c r="A160" s="10">
        <v>2025</v>
      </c>
      <c r="B160" s="10">
        <v>7</v>
      </c>
      <c r="C160" s="49">
        <v>432320</v>
      </c>
      <c r="D160" s="12">
        <v>-99412462641</v>
      </c>
      <c r="E160" s="12">
        <v>87857890800</v>
      </c>
      <c r="F160" s="12"/>
      <c r="G160" s="12"/>
      <c r="H160" s="12"/>
      <c r="I160" s="12">
        <f>2195838644</f>
        <v>2195838644</v>
      </c>
      <c r="J160" s="12">
        <f>46432964+49227</f>
        <v>46482191</v>
      </c>
      <c r="K160" s="12">
        <v>17375931618</v>
      </c>
      <c r="L160" s="29">
        <f t="shared" si="5"/>
        <v>7970716230</v>
      </c>
      <c r="M160" s="34">
        <f t="shared" si="6"/>
        <v>-0.51846447971622589</v>
      </c>
      <c r="N160" s="10">
        <v>432320</v>
      </c>
      <c r="O160" s="39" t="s">
        <v>139</v>
      </c>
      <c r="P160" s="12">
        <v>17240000000</v>
      </c>
      <c r="Q160" s="12">
        <v>170</v>
      </c>
    </row>
    <row r="161" spans="1:17" s="16" customFormat="1" ht="17.399999999999999" x14ac:dyDescent="0.4">
      <c r="A161" s="13">
        <v>2023</v>
      </c>
      <c r="B161" s="14">
        <v>10</v>
      </c>
      <c r="C161" s="46">
        <v>448730</v>
      </c>
      <c r="D161" s="15">
        <v>1597243844</v>
      </c>
      <c r="E161" s="15">
        <v>2118003000</v>
      </c>
      <c r="F161" s="15">
        <v>0</v>
      </c>
      <c r="G161" s="15">
        <v>0</v>
      </c>
      <c r="H161" s="15"/>
      <c r="I161" s="15"/>
      <c r="J161" s="15"/>
      <c r="K161" s="15"/>
      <c r="L161" s="30">
        <f t="shared" si="5"/>
        <v>3715246844</v>
      </c>
      <c r="M161" s="35">
        <f t="shared" si="6"/>
        <v>-0.5338879547591171</v>
      </c>
      <c r="N161" s="14">
        <v>448730</v>
      </c>
      <c r="O161" s="40"/>
      <c r="P161" s="15">
        <v>10760000000</v>
      </c>
      <c r="Q161" s="15">
        <v>139</v>
      </c>
    </row>
    <row r="162" spans="1:17" ht="17.399999999999999" x14ac:dyDescent="0.4">
      <c r="A162" s="17">
        <v>2024</v>
      </c>
      <c r="B162" s="10">
        <v>4</v>
      </c>
      <c r="C162" s="47">
        <v>448730</v>
      </c>
      <c r="D162" s="18">
        <v>2711520324</v>
      </c>
      <c r="E162" s="18">
        <v>2085043000</v>
      </c>
      <c r="F162" s="18"/>
      <c r="G162" s="18"/>
      <c r="H162" s="18"/>
      <c r="I162" s="18"/>
      <c r="J162" s="18"/>
      <c r="K162" s="18"/>
      <c r="L162" s="31">
        <f t="shared" si="5"/>
        <v>4796563324</v>
      </c>
      <c r="M162" s="36">
        <f t="shared" si="6"/>
        <v>0.29104835436339593</v>
      </c>
      <c r="N162" s="10">
        <v>448730</v>
      </c>
      <c r="O162" s="39" t="s">
        <v>140</v>
      </c>
      <c r="P162" s="18">
        <v>11068000000</v>
      </c>
      <c r="Q162" s="18">
        <v>143</v>
      </c>
    </row>
    <row r="163" spans="1:17" ht="17.399999999999999" x14ac:dyDescent="0.4">
      <c r="A163" s="17">
        <v>2024</v>
      </c>
      <c r="B163" s="10">
        <v>10</v>
      </c>
      <c r="C163" s="47">
        <v>448730</v>
      </c>
      <c r="D163" s="18">
        <v>1258639747</v>
      </c>
      <c r="E163" s="18">
        <v>2153727000</v>
      </c>
      <c r="F163" s="18"/>
      <c r="G163" s="18"/>
      <c r="H163" s="18"/>
      <c r="I163" s="18"/>
      <c r="J163" s="18"/>
      <c r="K163" s="18"/>
      <c r="L163" s="31">
        <f t="shared" si="5"/>
        <v>3412366747</v>
      </c>
      <c r="M163" s="36">
        <f t="shared" si="6"/>
        <v>-0.28858090334678965</v>
      </c>
      <c r="N163" s="10">
        <v>448730</v>
      </c>
      <c r="O163" s="39"/>
      <c r="P163" s="18">
        <v>11044000000</v>
      </c>
      <c r="Q163" s="18">
        <v>131</v>
      </c>
    </row>
    <row r="164" spans="1:17" ht="18" thickBot="1" x14ac:dyDescent="0.45">
      <c r="A164" s="17">
        <v>2025</v>
      </c>
      <c r="B164" s="10">
        <v>4</v>
      </c>
      <c r="C164" s="47">
        <v>448730</v>
      </c>
      <c r="D164" s="18">
        <v>6058245811</v>
      </c>
      <c r="E164" s="18">
        <v>2663180000</v>
      </c>
      <c r="F164" s="18"/>
      <c r="G164" s="18"/>
      <c r="H164" s="18"/>
      <c r="I164" s="18"/>
      <c r="J164" s="18"/>
      <c r="K164" s="18"/>
      <c r="L164" s="31">
        <f t="shared" si="5"/>
        <v>8721425811</v>
      </c>
      <c r="M164" s="36">
        <f t="shared" si="6"/>
        <v>1.5558289766677298</v>
      </c>
      <c r="N164" s="10">
        <v>448730</v>
      </c>
      <c r="O164" s="39" t="s">
        <v>141</v>
      </c>
      <c r="P164" s="18">
        <v>12861000000</v>
      </c>
      <c r="Q164" s="18">
        <v>142</v>
      </c>
    </row>
    <row r="165" spans="1:17" s="16" customFormat="1" ht="17.399999999999999" x14ac:dyDescent="0.4">
      <c r="A165" s="13">
        <v>2024</v>
      </c>
      <c r="B165" s="14">
        <v>8</v>
      </c>
      <c r="C165" s="46">
        <v>481850</v>
      </c>
      <c r="D165" s="15">
        <v>-10797131008</v>
      </c>
      <c r="E165" s="15">
        <v>0</v>
      </c>
      <c r="F165" s="15">
        <v>0</v>
      </c>
      <c r="G165" s="15">
        <v>0</v>
      </c>
      <c r="H165" s="15">
        <f>10044000+5209451000</f>
        <v>5219495000</v>
      </c>
      <c r="I165" s="15">
        <f>5881874000+2951985000+6864000</f>
        <v>8840723000</v>
      </c>
      <c r="J165" s="15"/>
      <c r="K165" s="15"/>
      <c r="L165" s="30">
        <f t="shared" si="5"/>
        <v>-7175903008</v>
      </c>
      <c r="M165" s="35">
        <f t="shared" si="6"/>
        <v>-1.8227901221093126</v>
      </c>
      <c r="N165" s="14">
        <v>481850</v>
      </c>
      <c r="O165" s="40"/>
      <c r="P165" s="15">
        <v>5478000000</v>
      </c>
      <c r="Q165" s="15">
        <v>126</v>
      </c>
    </row>
    <row r="166" spans="1:17" ht="17.399999999999999" x14ac:dyDescent="0.4">
      <c r="A166" s="17">
        <v>2025</v>
      </c>
      <c r="B166" s="10">
        <v>2</v>
      </c>
      <c r="C166" s="47">
        <v>481850</v>
      </c>
      <c r="D166" s="18">
        <v>-4797457820</v>
      </c>
      <c r="E166" s="18">
        <v>0</v>
      </c>
      <c r="F166" s="18">
        <v>0</v>
      </c>
      <c r="G166" s="18">
        <v>0</v>
      </c>
      <c r="H166" s="18">
        <f>10198453000+6144000+19747000</f>
        <v>10224344000</v>
      </c>
      <c r="I166" s="18">
        <f>16062787000+13619000</f>
        <v>16076406000</v>
      </c>
      <c r="J166" s="18"/>
      <c r="K166" s="18"/>
      <c r="L166" s="31">
        <f t="shared" si="5"/>
        <v>1054604180</v>
      </c>
      <c r="M166" s="36">
        <f t="shared" si="6"/>
        <v>-1.1469646647710097</v>
      </c>
      <c r="N166" s="10">
        <v>481850</v>
      </c>
      <c r="O166" s="39"/>
      <c r="P166" s="18">
        <v>5522000000</v>
      </c>
      <c r="Q166" s="18">
        <v>127</v>
      </c>
    </row>
    <row r="167" spans="1:17" s="22" customFormat="1" ht="18" thickBot="1" x14ac:dyDescent="0.45">
      <c r="A167" s="19">
        <v>2025</v>
      </c>
      <c r="B167" s="20">
        <v>8</v>
      </c>
      <c r="C167" s="48">
        <v>481850</v>
      </c>
      <c r="D167" s="21">
        <v>-7235806326</v>
      </c>
      <c r="E167" s="21"/>
      <c r="F167" s="21"/>
      <c r="G167" s="21"/>
      <c r="H167" s="21"/>
      <c r="I167" s="21">
        <f>1157637000+10487321000+234742000</f>
        <v>11879700000</v>
      </c>
      <c r="J167" s="21"/>
      <c r="K167" s="21"/>
      <c r="L167" s="32">
        <f t="shared" si="5"/>
        <v>4643893674</v>
      </c>
      <c r="M167" s="37">
        <f t="shared" si="6"/>
        <v>3.4034470582128735</v>
      </c>
      <c r="N167" s="20">
        <v>481850</v>
      </c>
      <c r="O167" s="41"/>
      <c r="P167" s="21"/>
      <c r="Q167" s="21"/>
    </row>
    <row r="168" spans="1:17" ht="17.399999999999999" x14ac:dyDescent="0.4">
      <c r="A168" s="10">
        <v>2017</v>
      </c>
      <c r="B168" s="10">
        <v>12</v>
      </c>
      <c r="C168" s="49" t="s">
        <v>41</v>
      </c>
      <c r="D168" s="12">
        <v>3663608699</v>
      </c>
      <c r="E168" s="12">
        <v>3044262000</v>
      </c>
      <c r="F168" s="12"/>
      <c r="G168" s="12"/>
      <c r="H168" s="12"/>
      <c r="I168" s="12"/>
      <c r="J168" s="12"/>
      <c r="K168" s="12"/>
      <c r="L168" s="29">
        <f t="shared" si="5"/>
        <v>6707870699</v>
      </c>
      <c r="M168" s="34">
        <f t="shared" si="6"/>
        <v>0.4444496730309937</v>
      </c>
      <c r="N168" s="10" t="s">
        <v>41</v>
      </c>
      <c r="O168" s="39"/>
      <c r="P168" s="12">
        <v>6708000000</v>
      </c>
      <c r="Q168" s="12">
        <v>141</v>
      </c>
    </row>
    <row r="169" spans="1:17" ht="17.399999999999999" x14ac:dyDescent="0.4">
      <c r="A169" s="10">
        <v>2018</v>
      </c>
      <c r="B169" s="10">
        <v>6</v>
      </c>
      <c r="C169" s="49" t="s">
        <v>41</v>
      </c>
      <c r="D169" s="12">
        <v>4402740732</v>
      </c>
      <c r="E169" s="12">
        <v>3044312000</v>
      </c>
      <c r="F169" s="12"/>
      <c r="G169" s="12"/>
      <c r="H169" s="12"/>
      <c r="I169" s="12"/>
      <c r="J169" s="12"/>
      <c r="K169" s="12"/>
      <c r="L169" s="29">
        <f t="shared" si="5"/>
        <v>7447052732</v>
      </c>
      <c r="M169" s="34">
        <f t="shared" si="6"/>
        <v>0.11019622562345988</v>
      </c>
      <c r="N169" s="10" t="s">
        <v>41</v>
      </c>
      <c r="O169" s="39"/>
      <c r="P169" s="12">
        <v>7447000000</v>
      </c>
      <c r="Q169" s="12">
        <v>118</v>
      </c>
    </row>
    <row r="170" spans="1:17" ht="17.399999999999999" x14ac:dyDescent="0.4">
      <c r="A170" s="10">
        <v>2018</v>
      </c>
      <c r="B170" s="10">
        <v>12</v>
      </c>
      <c r="C170" s="49" t="s">
        <v>41</v>
      </c>
      <c r="D170" s="12">
        <v>5065502394</v>
      </c>
      <c r="E170" s="12">
        <v>3659710000</v>
      </c>
      <c r="F170" s="12"/>
      <c r="G170" s="12"/>
      <c r="H170" s="12">
        <v>197885000</v>
      </c>
      <c r="I170" s="12"/>
      <c r="J170" s="12"/>
      <c r="K170" s="12"/>
      <c r="L170" s="29">
        <f t="shared" si="5"/>
        <v>8527327394</v>
      </c>
      <c r="M170" s="34">
        <f t="shared" si="6"/>
        <v>0.14506069728203452</v>
      </c>
      <c r="N170" s="10" t="s">
        <v>41</v>
      </c>
      <c r="O170" s="39" t="s">
        <v>143</v>
      </c>
      <c r="P170" s="12">
        <v>11085000000</v>
      </c>
      <c r="Q170" s="12">
        <v>175</v>
      </c>
    </row>
    <row r="171" spans="1:17" ht="17.399999999999999" x14ac:dyDescent="0.4">
      <c r="A171" s="10">
        <v>2019</v>
      </c>
      <c r="B171" s="10">
        <v>6</v>
      </c>
      <c r="C171" s="49" t="s">
        <v>41</v>
      </c>
      <c r="D171" s="12">
        <v>6478378456</v>
      </c>
      <c r="E171" s="12">
        <v>4274505000</v>
      </c>
      <c r="F171" s="12"/>
      <c r="G171" s="12"/>
      <c r="H171" s="12"/>
      <c r="I171" s="12"/>
      <c r="J171" s="12"/>
      <c r="K171" s="12"/>
      <c r="L171" s="29">
        <f t="shared" si="5"/>
        <v>10752883456</v>
      </c>
      <c r="M171" s="34">
        <f t="shared" si="6"/>
        <v>0.26099104199587164</v>
      </c>
      <c r="N171" s="10" t="s">
        <v>41</v>
      </c>
      <c r="O171" s="39"/>
      <c r="P171" s="12">
        <v>11085000000</v>
      </c>
      <c r="Q171" s="12">
        <v>175</v>
      </c>
    </row>
    <row r="172" spans="1:17" ht="17.399999999999999" x14ac:dyDescent="0.4">
      <c r="A172" s="10">
        <v>2019</v>
      </c>
      <c r="B172" s="10">
        <v>12</v>
      </c>
      <c r="C172" s="49" t="s">
        <v>41</v>
      </c>
      <c r="D172" s="12">
        <v>6616279228</v>
      </c>
      <c r="E172" s="12">
        <v>4274505000</v>
      </c>
      <c r="F172" s="12"/>
      <c r="G172" s="12"/>
      <c r="H172" s="12"/>
      <c r="I172" s="12"/>
      <c r="J172" s="12"/>
      <c r="K172" s="12"/>
      <c r="L172" s="29">
        <f t="shared" si="5"/>
        <v>10890784228</v>
      </c>
      <c r="M172" s="34">
        <f t="shared" si="6"/>
        <v>1.2824538884316894E-2</v>
      </c>
      <c r="N172" s="10" t="s">
        <v>41</v>
      </c>
      <c r="O172" s="39"/>
      <c r="P172" s="12">
        <v>11085000000</v>
      </c>
      <c r="Q172" s="12">
        <v>175</v>
      </c>
    </row>
    <row r="173" spans="1:17" ht="17.399999999999999" x14ac:dyDescent="0.4">
      <c r="A173" s="10">
        <v>2020</v>
      </c>
      <c r="B173" s="10">
        <v>6</v>
      </c>
      <c r="C173" s="49" t="s">
        <v>41</v>
      </c>
      <c r="D173" s="12">
        <v>6772559011</v>
      </c>
      <c r="E173" s="12">
        <v>4274505000</v>
      </c>
      <c r="F173" s="12"/>
      <c r="G173" s="12"/>
      <c r="H173" s="12"/>
      <c r="I173" s="12"/>
      <c r="J173" s="12"/>
      <c r="K173" s="12"/>
      <c r="L173" s="29">
        <f t="shared" si="5"/>
        <v>11047064011</v>
      </c>
      <c r="M173" s="34">
        <f t="shared" si="6"/>
        <v>1.4349727230680731E-2</v>
      </c>
      <c r="N173" s="10" t="s">
        <v>41</v>
      </c>
      <c r="O173" s="39"/>
      <c r="P173" s="12">
        <v>11085000000</v>
      </c>
      <c r="Q173" s="12">
        <v>175</v>
      </c>
    </row>
    <row r="174" spans="1:17" ht="17.399999999999999" x14ac:dyDescent="0.4">
      <c r="A174" s="10">
        <v>2020</v>
      </c>
      <c r="B174" s="10">
        <v>12</v>
      </c>
      <c r="C174" s="49" t="s">
        <v>41</v>
      </c>
      <c r="D174" s="12">
        <v>6814080938</v>
      </c>
      <c r="E174" s="12">
        <v>4275395000</v>
      </c>
      <c r="F174" s="12"/>
      <c r="G174" s="12"/>
      <c r="H174" s="12"/>
      <c r="I174" s="12"/>
      <c r="J174" s="12"/>
      <c r="K174" s="12"/>
      <c r="L174" s="29">
        <f t="shared" si="5"/>
        <v>11089475938</v>
      </c>
      <c r="M174" s="34">
        <f t="shared" si="6"/>
        <v>3.8392035166781024E-3</v>
      </c>
      <c r="N174" s="10" t="s">
        <v>41</v>
      </c>
      <c r="O174" s="39"/>
      <c r="P174" s="12">
        <v>11085000000</v>
      </c>
      <c r="Q174" s="12">
        <v>175</v>
      </c>
    </row>
    <row r="175" spans="1:17" ht="17.399999999999999" x14ac:dyDescent="0.4">
      <c r="A175" s="10">
        <v>2021</v>
      </c>
      <c r="B175" s="10">
        <v>6</v>
      </c>
      <c r="C175" s="49">
        <v>88260</v>
      </c>
      <c r="D175" s="12">
        <v>7221500600</v>
      </c>
      <c r="E175" s="12">
        <v>4279851000</v>
      </c>
      <c r="F175" s="12"/>
      <c r="G175" s="12"/>
      <c r="H175" s="12"/>
      <c r="I175" s="12"/>
      <c r="J175" s="12"/>
      <c r="K175" s="12"/>
      <c r="L175" s="29">
        <f t="shared" si="5"/>
        <v>11501351600</v>
      </c>
      <c r="M175" s="34">
        <f t="shared" si="6"/>
        <v>3.7141129508982296E-2</v>
      </c>
      <c r="N175" s="10" t="s">
        <v>41</v>
      </c>
      <c r="O175" s="39"/>
      <c r="P175" s="12">
        <v>11370000000</v>
      </c>
      <c r="Q175" s="12">
        <v>179</v>
      </c>
    </row>
    <row r="176" spans="1:17" ht="17.399999999999999" x14ac:dyDescent="0.4">
      <c r="A176" s="10">
        <v>2021</v>
      </c>
      <c r="B176" s="10">
        <v>12</v>
      </c>
      <c r="C176" s="49" t="s">
        <v>41</v>
      </c>
      <c r="D176" s="12">
        <v>8983988275</v>
      </c>
      <c r="E176" s="12">
        <v>4279850000</v>
      </c>
      <c r="F176" s="12"/>
      <c r="G176" s="12"/>
      <c r="H176" s="12"/>
      <c r="I176" s="12"/>
      <c r="J176" s="12"/>
      <c r="K176" s="12"/>
      <c r="L176" s="29">
        <f t="shared" si="5"/>
        <v>13263838275</v>
      </c>
      <c r="M176" s="34">
        <f t="shared" si="6"/>
        <v>0.15324170030590145</v>
      </c>
      <c r="N176" s="10" t="s">
        <v>41</v>
      </c>
      <c r="O176" s="39" t="s">
        <v>144</v>
      </c>
      <c r="P176" s="12">
        <v>12979000000</v>
      </c>
      <c r="Q176" s="12">
        <v>204</v>
      </c>
    </row>
    <row r="177" spans="1:18" ht="17.399999999999999" x14ac:dyDescent="0.4">
      <c r="A177" s="10">
        <v>2022</v>
      </c>
      <c r="B177" s="10">
        <v>6</v>
      </c>
      <c r="C177" s="49" t="s">
        <v>41</v>
      </c>
      <c r="D177" s="12">
        <v>9084546320</v>
      </c>
      <c r="E177" s="12">
        <v>4279852000</v>
      </c>
      <c r="F177" s="12"/>
      <c r="G177" s="12"/>
      <c r="H177" s="12"/>
      <c r="I177" s="12"/>
      <c r="J177" s="12"/>
      <c r="K177" s="12"/>
      <c r="L177" s="29">
        <f t="shared" si="5"/>
        <v>13364398320</v>
      </c>
      <c r="M177" s="34">
        <f t="shared" si="6"/>
        <v>7.5815192341073256E-3</v>
      </c>
      <c r="N177" s="10" t="s">
        <v>41</v>
      </c>
      <c r="O177" s="39"/>
      <c r="P177" s="12">
        <v>13337000000</v>
      </c>
      <c r="Q177" s="12">
        <v>210</v>
      </c>
    </row>
    <row r="178" spans="1:18" ht="17.399999999999999" x14ac:dyDescent="0.4">
      <c r="A178" s="10">
        <v>2022</v>
      </c>
      <c r="B178" s="10">
        <v>12</v>
      </c>
      <c r="C178" s="49" t="s">
        <v>41</v>
      </c>
      <c r="D178" s="12">
        <v>9325677643</v>
      </c>
      <c r="E178" s="12">
        <v>4279851000</v>
      </c>
      <c r="F178" s="12"/>
      <c r="G178" s="12"/>
      <c r="H178" s="12"/>
      <c r="I178" s="12"/>
      <c r="J178" s="12"/>
      <c r="K178" s="12"/>
      <c r="L178" s="29">
        <f t="shared" si="5"/>
        <v>13605528643</v>
      </c>
      <c r="M178" s="34">
        <f t="shared" si="6"/>
        <v>1.8042736921358049E-2</v>
      </c>
      <c r="N178" s="10" t="s">
        <v>41</v>
      </c>
      <c r="O178" s="39"/>
      <c r="P178" s="12">
        <v>12342000000</v>
      </c>
      <c r="Q178" s="12">
        <v>195</v>
      </c>
    </row>
    <row r="179" spans="1:18" ht="17.399999999999999" x14ac:dyDescent="0.4">
      <c r="A179" s="10">
        <v>2023</v>
      </c>
      <c r="B179" s="10">
        <v>6</v>
      </c>
      <c r="C179" s="49" t="s">
        <v>41</v>
      </c>
      <c r="D179" s="12">
        <v>8602272649</v>
      </c>
      <c r="E179" s="12">
        <v>4287067000</v>
      </c>
      <c r="F179" s="12"/>
      <c r="G179" s="12"/>
      <c r="H179" s="12"/>
      <c r="I179" s="12"/>
      <c r="J179" s="12"/>
      <c r="K179" s="12">
        <v>929598000</v>
      </c>
      <c r="L179" s="29">
        <f t="shared" ref="L179:L195" si="7">D179+E179-F179+G179-H179+I179-J179+K179</f>
        <v>13818937649</v>
      </c>
      <c r="M179" s="34">
        <f t="shared" si="6"/>
        <v>1.5685462255801363E-2</v>
      </c>
      <c r="N179" s="10" t="s">
        <v>41</v>
      </c>
      <c r="O179" s="39" t="s">
        <v>145</v>
      </c>
      <c r="P179" s="12">
        <v>12673000000</v>
      </c>
      <c r="Q179" s="12">
        <v>200</v>
      </c>
    </row>
    <row r="180" spans="1:18" ht="17.399999999999999" x14ac:dyDescent="0.4">
      <c r="A180" s="10">
        <v>2023</v>
      </c>
      <c r="B180" s="10">
        <v>12</v>
      </c>
      <c r="C180" s="49" t="s">
        <v>41</v>
      </c>
      <c r="D180" s="12">
        <v>9908135053</v>
      </c>
      <c r="E180" s="12">
        <v>4300949124</v>
      </c>
      <c r="F180" s="12"/>
      <c r="G180" s="12"/>
      <c r="H180" s="12"/>
      <c r="I180" s="12"/>
      <c r="J180" s="12"/>
      <c r="K180" s="12"/>
      <c r="L180" s="29">
        <f t="shared" si="7"/>
        <v>14209084177</v>
      </c>
      <c r="M180" s="34">
        <f t="shared" ref="M180:M195" si="8">L180/L179-1</f>
        <v>2.8232743927911974E-2</v>
      </c>
      <c r="N180" s="10" t="s">
        <v>41</v>
      </c>
      <c r="O180" s="39"/>
      <c r="P180" s="12">
        <v>12925000000</v>
      </c>
      <c r="Q180" s="12">
        <v>204</v>
      </c>
    </row>
    <row r="181" spans="1:18" ht="17.399999999999999" x14ac:dyDescent="0.4">
      <c r="A181" s="10">
        <v>2024</v>
      </c>
      <c r="B181" s="10">
        <v>6</v>
      </c>
      <c r="C181" s="49" t="s">
        <v>41</v>
      </c>
      <c r="D181" s="12">
        <v>8159021119</v>
      </c>
      <c r="E181" s="12">
        <v>4300949124</v>
      </c>
      <c r="F181" s="12"/>
      <c r="G181" s="12"/>
      <c r="H181" s="12"/>
      <c r="I181" s="12"/>
      <c r="J181" s="12"/>
      <c r="K181" s="12"/>
      <c r="L181" s="29">
        <f t="shared" si="7"/>
        <v>12459970243</v>
      </c>
      <c r="M181" s="34">
        <f t="shared" si="8"/>
        <v>-0.12309828784259447</v>
      </c>
      <c r="N181" s="10" t="s">
        <v>41</v>
      </c>
      <c r="O181" s="39" t="s">
        <v>125</v>
      </c>
      <c r="P181" s="12">
        <v>11813000000</v>
      </c>
      <c r="Q181" s="12">
        <v>186</v>
      </c>
    </row>
    <row r="182" spans="1:18" ht="17.399999999999999" x14ac:dyDescent="0.4">
      <c r="A182" s="10">
        <v>2024</v>
      </c>
      <c r="B182" s="10">
        <v>12</v>
      </c>
      <c r="C182" s="49" t="s">
        <v>41</v>
      </c>
      <c r="D182" s="12">
        <v>5028748467</v>
      </c>
      <c r="E182" s="12">
        <v>3066013812</v>
      </c>
      <c r="F182" s="12"/>
      <c r="G182" s="12"/>
      <c r="H182" s="12"/>
      <c r="I182" s="12"/>
      <c r="J182" s="12"/>
      <c r="K182" s="12"/>
      <c r="L182" s="29">
        <f t="shared" si="7"/>
        <v>8094762279</v>
      </c>
      <c r="M182" s="34">
        <f t="shared" si="8"/>
        <v>-0.35033855449633755</v>
      </c>
      <c r="N182" s="10" t="s">
        <v>41</v>
      </c>
      <c r="O182" s="39" t="s">
        <v>146</v>
      </c>
      <c r="P182" s="12">
        <v>11155000000</v>
      </c>
      <c r="Q182" s="12">
        <v>176</v>
      </c>
    </row>
    <row r="183" spans="1:18" ht="18" thickBot="1" x14ac:dyDescent="0.45">
      <c r="A183" s="10">
        <v>2025</v>
      </c>
      <c r="B183" s="10">
        <v>6</v>
      </c>
      <c r="C183" s="49" t="s">
        <v>41</v>
      </c>
      <c r="D183" s="12">
        <v>6558625488</v>
      </c>
      <c r="E183" s="12">
        <v>3066013812</v>
      </c>
      <c r="F183" s="12"/>
      <c r="G183" s="12"/>
      <c r="H183" s="12"/>
      <c r="I183" s="12"/>
      <c r="J183" s="12"/>
      <c r="K183" s="12"/>
      <c r="L183" s="29">
        <f t="shared" si="7"/>
        <v>9624639300</v>
      </c>
      <c r="M183" s="34">
        <f t="shared" si="8"/>
        <v>0.18899591714619146</v>
      </c>
      <c r="N183" s="10" t="s">
        <v>41</v>
      </c>
      <c r="O183" s="39" t="s">
        <v>147</v>
      </c>
      <c r="P183" s="12">
        <v>11022000000</v>
      </c>
      <c r="Q183" s="12">
        <v>174</v>
      </c>
    </row>
    <row r="184" spans="1:18" s="16" customFormat="1" ht="17.399999999999999" x14ac:dyDescent="0.4">
      <c r="A184" s="13">
        <v>2022</v>
      </c>
      <c r="B184" s="14">
        <v>5</v>
      </c>
      <c r="C184" s="46" t="s">
        <v>87</v>
      </c>
      <c r="D184" s="15">
        <f>2555126805+1257906980</f>
        <v>3813033785</v>
      </c>
      <c r="E184" s="15">
        <f>SUM(869512000, 852745000)</f>
        <v>1722257000</v>
      </c>
      <c r="F184" s="14"/>
      <c r="G184" s="14"/>
      <c r="H184" s="14"/>
      <c r="I184" s="14"/>
      <c r="J184" s="14"/>
      <c r="K184" s="14"/>
      <c r="L184" s="30">
        <f t="shared" si="7"/>
        <v>5535290785</v>
      </c>
      <c r="M184" s="35">
        <f t="shared" si="8"/>
        <v>-0.42488330082146564</v>
      </c>
      <c r="N184" s="14" t="s">
        <v>87</v>
      </c>
      <c r="O184" s="40"/>
      <c r="P184" s="15">
        <f>SUM(3425000000, 1314000000)</f>
        <v>4739000000</v>
      </c>
      <c r="Q184" s="15">
        <f>SUM(84, 62)</f>
        <v>146</v>
      </c>
      <c r="R184" s="23"/>
    </row>
    <row r="185" spans="1:18" ht="17.399999999999999" x14ac:dyDescent="0.4">
      <c r="A185" s="17">
        <v>2022</v>
      </c>
      <c r="B185" s="10">
        <v>11</v>
      </c>
      <c r="C185" s="49" t="s">
        <v>87</v>
      </c>
      <c r="D185" s="18">
        <f>SUM(2597076135, 1563444824)</f>
        <v>4160520959</v>
      </c>
      <c r="E185" s="18">
        <f>SUM(869512000, 869512000)</f>
        <v>1739024000</v>
      </c>
      <c r="F185" s="10"/>
      <c r="G185" s="10"/>
      <c r="H185" s="10"/>
      <c r="I185" s="10"/>
      <c r="J185" s="10"/>
      <c r="K185" s="10"/>
      <c r="L185" s="31">
        <f t="shared" si="7"/>
        <v>5899544959</v>
      </c>
      <c r="M185" s="36">
        <f t="shared" si="8"/>
        <v>6.5805788376481766E-2</v>
      </c>
      <c r="N185" s="10" t="s">
        <v>87</v>
      </c>
      <c r="O185" s="39"/>
      <c r="P185" s="18">
        <f>SUM(3467000000, 2433000000)</f>
        <v>5900000000</v>
      </c>
      <c r="Q185" s="18">
        <f>SUM(85, 60)</f>
        <v>145</v>
      </c>
      <c r="R185" s="6"/>
    </row>
    <row r="186" spans="1:18" ht="17.399999999999999" x14ac:dyDescent="0.4">
      <c r="A186" s="17">
        <v>2023</v>
      </c>
      <c r="B186" s="10">
        <v>5</v>
      </c>
      <c r="C186" s="49" t="s">
        <v>87</v>
      </c>
      <c r="D186" s="18">
        <f>SUM(2397180039, 2495126829)</f>
        <v>4892306868</v>
      </c>
      <c r="E186" s="18">
        <f>SUM(876138000, 875606000)</f>
        <v>1751744000</v>
      </c>
      <c r="F186" s="10"/>
      <c r="G186" s="10"/>
      <c r="H186" s="10"/>
      <c r="I186" s="10"/>
      <c r="J186" s="10"/>
      <c r="K186" s="10"/>
      <c r="L186" s="31">
        <f t="shared" si="7"/>
        <v>6644050868</v>
      </c>
      <c r="M186" s="36">
        <f t="shared" si="8"/>
        <v>0.12619717523539253</v>
      </c>
      <c r="N186" s="10" t="s">
        <v>87</v>
      </c>
      <c r="O186" s="39"/>
      <c r="P186" s="18">
        <f>SUM(32733000000, 3371000000)</f>
        <v>36104000000</v>
      </c>
      <c r="Q186" s="18">
        <f>SUM(81, 83)</f>
        <v>164</v>
      </c>
      <c r="R186" s="6"/>
    </row>
    <row r="187" spans="1:18" ht="17.399999999999999" x14ac:dyDescent="0.4">
      <c r="A187" s="17">
        <v>2023</v>
      </c>
      <c r="B187" s="10">
        <v>11</v>
      </c>
      <c r="C187" s="49">
        <v>417310</v>
      </c>
      <c r="D187" s="18">
        <f>SUM(2836944569, 1817038959)</f>
        <v>4653983528</v>
      </c>
      <c r="E187" s="18">
        <f>SUM(876138000, 876138000)</f>
        <v>1752276000</v>
      </c>
      <c r="F187" s="10"/>
      <c r="G187" s="10"/>
      <c r="H187" s="10"/>
      <c r="I187" s="10"/>
      <c r="J187" s="10"/>
      <c r="K187" s="10"/>
      <c r="L187" s="31">
        <f t="shared" si="7"/>
        <v>6406259528</v>
      </c>
      <c r="M187" s="36">
        <f t="shared" si="8"/>
        <v>-3.5790114302899689E-2</v>
      </c>
      <c r="N187" s="10" t="s">
        <v>87</v>
      </c>
      <c r="O187" s="39"/>
      <c r="P187" s="18">
        <f>SUM(366300000, 2693000000)</f>
        <v>3059300000</v>
      </c>
      <c r="Q187" s="18">
        <f>SUM(90, 66)</f>
        <v>156</v>
      </c>
      <c r="R187" s="6"/>
    </row>
    <row r="188" spans="1:18" ht="17.399999999999999" x14ac:dyDescent="0.4">
      <c r="A188" s="17">
        <v>2024</v>
      </c>
      <c r="B188" s="10">
        <v>5</v>
      </c>
      <c r="C188" s="49" t="s">
        <v>87</v>
      </c>
      <c r="D188" s="18">
        <f>SUM(2997106952, 2930633031)</f>
        <v>5927739983</v>
      </c>
      <c r="E188" s="18">
        <f>SUM(876138000, 876138000)</f>
        <v>1752276000</v>
      </c>
      <c r="F188" s="10"/>
      <c r="G188" s="10"/>
      <c r="H188" s="10"/>
      <c r="I188" s="10"/>
      <c r="J188" s="10"/>
      <c r="K188" s="10"/>
      <c r="L188" s="31">
        <f t="shared" si="7"/>
        <v>7680015983</v>
      </c>
      <c r="M188" s="36">
        <f t="shared" si="8"/>
        <v>0.19882998018309439</v>
      </c>
      <c r="N188" s="10" t="s">
        <v>87</v>
      </c>
      <c r="O188" s="39"/>
      <c r="P188" s="18">
        <f>SUM(3656000000, 3807000000)</f>
        <v>7463000000</v>
      </c>
      <c r="Q188" s="18">
        <f>SUM(90, 94)</f>
        <v>184</v>
      </c>
      <c r="R188" s="6"/>
    </row>
    <row r="189" spans="1:18" ht="17.399999999999999" x14ac:dyDescent="0.4">
      <c r="A189" s="17">
        <v>2024</v>
      </c>
      <c r="B189" s="10">
        <v>11</v>
      </c>
      <c r="C189" s="49" t="s">
        <v>87</v>
      </c>
      <c r="D189" s="18">
        <f>SUM(3295123554, 2000976081)</f>
        <v>5296099635</v>
      </c>
      <c r="E189" s="18">
        <f>SUM(876138000, 876139000)</f>
        <v>1752277000</v>
      </c>
      <c r="F189" s="10"/>
      <c r="G189" s="10"/>
      <c r="H189" s="10"/>
      <c r="I189" s="10"/>
      <c r="J189" s="10"/>
      <c r="K189" s="10"/>
      <c r="L189" s="31">
        <f t="shared" si="7"/>
        <v>7048376635</v>
      </c>
      <c r="M189" s="36">
        <f t="shared" si="8"/>
        <v>-8.2244535610102476E-2</v>
      </c>
      <c r="N189" s="10" t="s">
        <v>87</v>
      </c>
      <c r="O189" s="39"/>
      <c r="P189" s="18">
        <f>SUM(3850000000, 2877000000)</f>
        <v>6727000000</v>
      </c>
      <c r="Q189" s="18">
        <f>SUM(95, 71)</f>
        <v>166</v>
      </c>
      <c r="R189" s="6"/>
    </row>
    <row r="190" spans="1:18" s="22" customFormat="1" ht="18" thickBot="1" x14ac:dyDescent="0.45">
      <c r="A190" s="19">
        <v>2025</v>
      </c>
      <c r="B190" s="20">
        <v>5</v>
      </c>
      <c r="C190" s="48" t="s">
        <v>87</v>
      </c>
      <c r="D190" s="21">
        <f>SUM(3224226429, 3198830801)</f>
        <v>6423057230</v>
      </c>
      <c r="E190" s="21">
        <f>SUM(876138000, 876138000)</f>
        <v>1752276000</v>
      </c>
      <c r="F190" s="20"/>
      <c r="G190" s="20"/>
      <c r="H190" s="20"/>
      <c r="I190" s="20"/>
      <c r="J190" s="20"/>
      <c r="K190" s="20"/>
      <c r="L190" s="32">
        <f t="shared" si="7"/>
        <v>8175333230</v>
      </c>
      <c r="M190" s="37">
        <f t="shared" si="8"/>
        <v>0.15988881601529226</v>
      </c>
      <c r="N190" s="20" t="s">
        <v>87</v>
      </c>
      <c r="O190" s="41"/>
      <c r="P190" s="21">
        <f>SUM(3838000000, 3812000000)</f>
        <v>7650000000</v>
      </c>
      <c r="Q190" s="21">
        <f>SUM(94, 94)</f>
        <v>188</v>
      </c>
      <c r="R190" s="24"/>
    </row>
    <row r="191" spans="1:18" ht="17.399999999999999" x14ac:dyDescent="0.4">
      <c r="A191" s="10">
        <v>2023</v>
      </c>
      <c r="B191" s="10">
        <v>4</v>
      </c>
      <c r="C191" s="49" t="s">
        <v>86</v>
      </c>
      <c r="D191" s="12">
        <v>1203348207</v>
      </c>
      <c r="E191" s="12">
        <v>3316240000</v>
      </c>
      <c r="F191" s="10"/>
      <c r="G191" s="10"/>
      <c r="H191" s="10"/>
      <c r="I191" s="10"/>
      <c r="J191" s="10"/>
      <c r="K191" s="10"/>
      <c r="L191" s="29">
        <f t="shared" si="7"/>
        <v>4519588207</v>
      </c>
      <c r="M191" s="35">
        <f t="shared" si="8"/>
        <v>-0.44716770804949801</v>
      </c>
      <c r="N191" s="10" t="s">
        <v>86</v>
      </c>
      <c r="O191" s="39"/>
      <c r="P191" s="12">
        <v>9261000000</v>
      </c>
      <c r="Q191" s="12">
        <v>131</v>
      </c>
      <c r="R191" s="6"/>
    </row>
    <row r="192" spans="1:18" ht="17.399999999999999" x14ac:dyDescent="0.4">
      <c r="A192" s="10">
        <v>2023</v>
      </c>
      <c r="B192" s="10">
        <v>10</v>
      </c>
      <c r="C192" s="49">
        <v>451800</v>
      </c>
      <c r="D192" s="12">
        <v>2781452282</v>
      </c>
      <c r="E192" s="12">
        <v>4014396000</v>
      </c>
      <c r="F192" s="10"/>
      <c r="G192" s="10"/>
      <c r="H192" s="10"/>
      <c r="I192" s="10"/>
      <c r="J192" s="10"/>
      <c r="K192" s="10"/>
      <c r="L192" s="29">
        <f t="shared" si="7"/>
        <v>6795848282</v>
      </c>
      <c r="M192" s="34">
        <f t="shared" si="8"/>
        <v>0.50364324596530663</v>
      </c>
      <c r="N192" s="10" t="s">
        <v>86</v>
      </c>
      <c r="O192" s="39" t="s">
        <v>148</v>
      </c>
      <c r="P192" s="12">
        <v>11155000000</v>
      </c>
      <c r="Q192" s="12">
        <v>158</v>
      </c>
      <c r="R192" s="6"/>
    </row>
    <row r="193" spans="1:18" ht="17.399999999999999" x14ac:dyDescent="0.4">
      <c r="A193" s="10">
        <v>2024</v>
      </c>
      <c r="B193" s="10">
        <v>4</v>
      </c>
      <c r="C193" s="49" t="s">
        <v>86</v>
      </c>
      <c r="D193" s="12">
        <v>3204444953</v>
      </c>
      <c r="E193" s="12">
        <v>3955811000</v>
      </c>
      <c r="F193" s="10"/>
      <c r="G193" s="10"/>
      <c r="H193" s="10"/>
      <c r="I193" s="10"/>
      <c r="J193" s="10"/>
      <c r="K193" s="10"/>
      <c r="L193" s="29">
        <f t="shared" si="7"/>
        <v>7160255953</v>
      </c>
      <c r="M193" s="34">
        <f t="shared" si="8"/>
        <v>5.3622102183357612E-2</v>
      </c>
      <c r="N193" s="10" t="s">
        <v>86</v>
      </c>
      <c r="O193" s="39" t="s">
        <v>149</v>
      </c>
      <c r="P193" s="12">
        <v>11084000000</v>
      </c>
      <c r="Q193" s="12">
        <v>157</v>
      </c>
      <c r="R193" s="6"/>
    </row>
    <row r="194" spans="1:18" ht="17.399999999999999" x14ac:dyDescent="0.4">
      <c r="A194" s="10">
        <v>2024</v>
      </c>
      <c r="B194" s="10">
        <v>10</v>
      </c>
      <c r="C194" s="49" t="s">
        <v>86</v>
      </c>
      <c r="D194" s="12">
        <v>2799718358</v>
      </c>
      <c r="E194" s="12">
        <v>4832809000</v>
      </c>
      <c r="F194" s="10"/>
      <c r="G194" s="10"/>
      <c r="H194" s="10"/>
      <c r="I194" s="10"/>
      <c r="J194" s="10"/>
      <c r="K194" s="10"/>
      <c r="L194" s="29">
        <f t="shared" si="7"/>
        <v>7632527358</v>
      </c>
      <c r="M194" s="34">
        <f t="shared" si="8"/>
        <v>6.5957335617608415E-2</v>
      </c>
      <c r="N194" s="10" t="s">
        <v>86</v>
      </c>
      <c r="O194" s="39" t="s">
        <v>150</v>
      </c>
      <c r="P194" s="12">
        <v>11155000000</v>
      </c>
      <c r="Q194" s="12">
        <v>158</v>
      </c>
      <c r="R194" s="6"/>
    </row>
    <row r="195" spans="1:18" ht="17.399999999999999" x14ac:dyDescent="0.4">
      <c r="A195" s="10">
        <v>2025</v>
      </c>
      <c r="B195" s="10">
        <v>4</v>
      </c>
      <c r="C195" s="49" t="s">
        <v>86</v>
      </c>
      <c r="D195" s="12">
        <v>10791907422</v>
      </c>
      <c r="E195" s="12">
        <v>6277696000</v>
      </c>
      <c r="F195" s="10"/>
      <c r="G195" s="10"/>
      <c r="H195" s="10"/>
      <c r="I195" s="10"/>
      <c r="J195" s="10"/>
      <c r="K195" s="10"/>
      <c r="L195" s="29">
        <f t="shared" si="7"/>
        <v>17069603422</v>
      </c>
      <c r="M195" s="34">
        <f t="shared" si="8"/>
        <v>1.2364287242427725</v>
      </c>
      <c r="N195" s="10" t="s">
        <v>86</v>
      </c>
      <c r="O195" s="39" t="s">
        <v>151</v>
      </c>
      <c r="P195" s="12">
        <v>24246000000</v>
      </c>
      <c r="Q195" s="12">
        <v>135</v>
      </c>
      <c r="R195" s="6"/>
    </row>
  </sheetData>
  <sortState xmlns:xlrd2="http://schemas.microsoft.com/office/spreadsheetml/2017/richdata2" ref="A2:Q195">
    <sortCondition ref="C2:C195"/>
    <sortCondition ref="A2:A195"/>
    <sortCondition ref="B2:B195"/>
  </sortState>
  <phoneticPr fontId="2" type="noConversion"/>
  <conditionalFormatting sqref="N1:O61 N62 N63:O1048576">
    <cfRule type="colorScale" priority="6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ignoredErrors>
    <ignoredError sqref="C168:C183 C184:C186 C188:C190 C193:C195 C19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01A6-5FA1-447B-84D1-DB9453766115}">
  <dimension ref="E4:G10"/>
  <sheetViews>
    <sheetView showGridLines="0" workbookViewId="0">
      <selection activeCell="I13" sqref="I13"/>
    </sheetView>
  </sheetViews>
  <sheetFormatPr defaultRowHeight="17.399999999999999" x14ac:dyDescent="0.4"/>
  <cols>
    <col min="4" max="4" width="15.296875" customWidth="1"/>
    <col min="5" max="5" width="2.69921875" style="56" bestFit="1" customWidth="1"/>
    <col min="6" max="6" width="25.09765625" style="51" bestFit="1" customWidth="1"/>
    <col min="7" max="7" width="15.3984375" style="25" bestFit="1" customWidth="1"/>
    <col min="9" max="9" width="11.5" bestFit="1" customWidth="1"/>
  </cols>
  <sheetData>
    <row r="4" spans="5:7" ht="18" thickBot="1" x14ac:dyDescent="0.45">
      <c r="E4" s="55"/>
      <c r="F4" s="53" t="s">
        <v>158</v>
      </c>
      <c r="G4" s="54">
        <v>23754780543</v>
      </c>
    </row>
    <row r="5" spans="5:7" x14ac:dyDescent="0.4">
      <c r="E5" s="55" t="s">
        <v>159</v>
      </c>
      <c r="F5" s="57" t="s">
        <v>160</v>
      </c>
      <c r="G5" s="58">
        <v>4118356000</v>
      </c>
    </row>
    <row r="6" spans="5:7" x14ac:dyDescent="0.4">
      <c r="E6" s="55" t="s">
        <v>162</v>
      </c>
      <c r="F6" s="52" t="s">
        <v>163</v>
      </c>
      <c r="G6" s="25">
        <v>13257182000</v>
      </c>
    </row>
    <row r="7" spans="5:7" x14ac:dyDescent="0.4">
      <c r="E7" s="55" t="s">
        <v>159</v>
      </c>
      <c r="F7" s="57" t="s">
        <v>164</v>
      </c>
      <c r="G7" s="58">
        <v>508841000</v>
      </c>
    </row>
    <row r="8" spans="5:7" x14ac:dyDescent="0.4">
      <c r="E8" s="55" t="s">
        <v>162</v>
      </c>
      <c r="F8" s="51" t="s">
        <v>161</v>
      </c>
      <c r="G8" s="25">
        <v>3655685000</v>
      </c>
    </row>
    <row r="9" spans="5:7" ht="18" thickBot="1" x14ac:dyDescent="0.45">
      <c r="E9" s="55" t="s">
        <v>159</v>
      </c>
      <c r="F9" s="59" t="s">
        <v>165</v>
      </c>
      <c r="G9" s="60">
        <v>1693381000</v>
      </c>
    </row>
    <row r="10" spans="5:7" x14ac:dyDescent="0.4">
      <c r="F10" s="51" t="s">
        <v>85</v>
      </c>
      <c r="G10" s="25">
        <v>13162491543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A52F-7D1E-4264-8865-DB77300EFB14}">
  <dimension ref="B2:O16"/>
  <sheetViews>
    <sheetView workbookViewId="0">
      <selection activeCell="K24" sqref="K24"/>
    </sheetView>
  </sheetViews>
  <sheetFormatPr defaultRowHeight="17.399999999999999" x14ac:dyDescent="0.4"/>
  <cols>
    <col min="1" max="1" width="5" bestFit="1" customWidth="1"/>
    <col min="2" max="2" width="10.8984375" bestFit="1" customWidth="1"/>
    <col min="3" max="3" width="3.3984375" bestFit="1" customWidth="1"/>
    <col min="4" max="4" width="2.3984375" bestFit="1" customWidth="1"/>
    <col min="5" max="5" width="11.59765625" bestFit="1" customWidth="1"/>
    <col min="6" max="6" width="10.8984375" bestFit="1" customWidth="1"/>
    <col min="7" max="7" width="3.3984375" bestFit="1" customWidth="1"/>
    <col min="8" max="8" width="4.69921875" bestFit="1" customWidth="1"/>
    <col min="10" max="10" width="4.69921875" bestFit="1" customWidth="1"/>
    <col min="11" max="11" width="14.59765625" style="25" bestFit="1" customWidth="1"/>
    <col min="12" max="12" width="14.3984375" style="25" bestFit="1" customWidth="1"/>
    <col min="14" max="15" width="14.3984375" bestFit="1" customWidth="1"/>
  </cols>
  <sheetData>
    <row r="2" spans="2:15" x14ac:dyDescent="0.4">
      <c r="B2" t="s">
        <v>82</v>
      </c>
      <c r="F2" t="s">
        <v>81</v>
      </c>
    </row>
    <row r="3" spans="2:15" x14ac:dyDescent="0.4">
      <c r="B3">
        <v>2021</v>
      </c>
      <c r="C3">
        <v>7</v>
      </c>
      <c r="D3">
        <v>1</v>
      </c>
      <c r="F3">
        <v>2022</v>
      </c>
      <c r="G3">
        <v>2</v>
      </c>
      <c r="H3">
        <v>28</v>
      </c>
      <c r="J3" s="7" t="s">
        <v>51</v>
      </c>
      <c r="K3" s="26">
        <f>2685766036+734610246</f>
        <v>3420376282</v>
      </c>
      <c r="L3" s="11">
        <f>ROUND($E$10/$E$13*K3,0)</f>
        <v>9300348992</v>
      </c>
      <c r="N3" s="26">
        <f>2685766036+734610246</f>
        <v>3420376282</v>
      </c>
      <c r="O3" s="11">
        <f>ROUND($E$13/$E$10*N3,0)</f>
        <v>1257906980</v>
      </c>
    </row>
    <row r="4" spans="2:15" x14ac:dyDescent="0.4">
      <c r="B4" s="1">
        <f>DATE(B3,C3,D3)</f>
        <v>44378</v>
      </c>
      <c r="F4" s="1">
        <f>DATE(F3,G3,H3)</f>
        <v>44620</v>
      </c>
      <c r="J4" s="7" t="s">
        <v>52</v>
      </c>
      <c r="K4" s="11">
        <v>35618380</v>
      </c>
      <c r="L4" s="11">
        <f>ROUND($E$10/$E$13*K4,0)</f>
        <v>96849977</v>
      </c>
      <c r="N4" s="11">
        <f>579675+1739024</f>
        <v>2318699</v>
      </c>
      <c r="O4" s="11">
        <f t="shared" ref="O4:O6" si="0">ROUND($E$13/$E$10*N4,0)</f>
        <v>852745</v>
      </c>
    </row>
    <row r="5" spans="2:15" x14ac:dyDescent="0.4">
      <c r="J5" s="7"/>
      <c r="K5" s="11"/>
      <c r="L5" s="11">
        <f>ROUND($E$10/$E$13*K5,0)</f>
        <v>0</v>
      </c>
      <c r="N5" s="27">
        <v>5376869596</v>
      </c>
      <c r="O5" s="11">
        <f t="shared" si="0"/>
        <v>1977443777</v>
      </c>
    </row>
    <row r="6" spans="2:15" x14ac:dyDescent="0.4">
      <c r="B6">
        <v>2021</v>
      </c>
      <c r="C6">
        <v>12</v>
      </c>
      <c r="D6">
        <v>1</v>
      </c>
      <c r="F6">
        <v>2022</v>
      </c>
      <c r="G6">
        <v>2</v>
      </c>
      <c r="H6">
        <v>28</v>
      </c>
      <c r="J6" s="7"/>
      <c r="K6" s="26"/>
      <c r="L6" s="11">
        <f>ROUND($E$10/$E$13*K6,0)</f>
        <v>0</v>
      </c>
      <c r="O6" s="11">
        <f t="shared" si="0"/>
        <v>0</v>
      </c>
    </row>
    <row r="7" spans="2:15" x14ac:dyDescent="0.4">
      <c r="B7" s="1">
        <f>DATE(B6,C6,D6)</f>
        <v>44531</v>
      </c>
      <c r="F7" s="1">
        <f>DATE(F6,G6,H6)</f>
        <v>44620</v>
      </c>
      <c r="J7" s="7"/>
    </row>
    <row r="8" spans="2:15" x14ac:dyDescent="0.4">
      <c r="J8" s="7"/>
    </row>
    <row r="9" spans="2:15" x14ac:dyDescent="0.4">
      <c r="J9" s="7"/>
      <c r="K9" s="11"/>
      <c r="L9" s="11"/>
    </row>
    <row r="10" spans="2:15" x14ac:dyDescent="0.4">
      <c r="E10">
        <f>F4-B4</f>
        <v>242</v>
      </c>
      <c r="F10" t="s">
        <v>83</v>
      </c>
    </row>
    <row r="11" spans="2:15" x14ac:dyDescent="0.4">
      <c r="H11" s="7"/>
    </row>
    <row r="13" spans="2:15" x14ac:dyDescent="0.4">
      <c r="E13">
        <f>F7-B7</f>
        <v>89</v>
      </c>
      <c r="F13" t="s">
        <v>83</v>
      </c>
    </row>
    <row r="16" spans="2:15" x14ac:dyDescent="0.4">
      <c r="K16" s="25">
        <v>852745000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7C09-A807-42B2-AD76-09895641E869}">
  <dimension ref="A1:F10"/>
  <sheetViews>
    <sheetView workbookViewId="0">
      <selection activeCell="E8" sqref="E8"/>
    </sheetView>
  </sheetViews>
  <sheetFormatPr defaultRowHeight="17.399999999999999" x14ac:dyDescent="0.4"/>
  <cols>
    <col min="4" max="4" width="11.59765625" bestFit="1" customWidth="1"/>
    <col min="5" max="5" width="13" bestFit="1" customWidth="1"/>
  </cols>
  <sheetData>
    <row r="1" spans="1:6" x14ac:dyDescent="0.4">
      <c r="A1" t="s">
        <v>152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</row>
    <row r="2" spans="1:6" x14ac:dyDescent="0.4">
      <c r="A2">
        <v>2021</v>
      </c>
      <c r="B2">
        <v>6</v>
      </c>
      <c r="C2">
        <v>404990</v>
      </c>
      <c r="D2">
        <v>3149587307</v>
      </c>
      <c r="E2">
        <v>3149587307</v>
      </c>
    </row>
    <row r="3" spans="1:6" x14ac:dyDescent="0.4">
      <c r="A3">
        <v>2021</v>
      </c>
      <c r="B3">
        <v>12</v>
      </c>
      <c r="C3">
        <v>404990</v>
      </c>
      <c r="D3">
        <v>5279252263</v>
      </c>
      <c r="E3">
        <v>5279252263</v>
      </c>
    </row>
    <row r="4" spans="1:6" x14ac:dyDescent="0.4">
      <c r="A4">
        <v>2022</v>
      </c>
      <c r="B4">
        <v>6</v>
      </c>
      <c r="C4">
        <v>404990</v>
      </c>
      <c r="D4">
        <v>7727227667</v>
      </c>
      <c r="E4">
        <v>7727227667</v>
      </c>
      <c r="F4">
        <f>D4/D2</f>
        <v>2.4534095783997265</v>
      </c>
    </row>
    <row r="5" spans="1:6" x14ac:dyDescent="0.4">
      <c r="A5">
        <v>2022</v>
      </c>
      <c r="B5">
        <v>12</v>
      </c>
      <c r="C5">
        <v>404990</v>
      </c>
      <c r="D5">
        <v>9762447713</v>
      </c>
      <c r="E5">
        <v>9762447713</v>
      </c>
      <c r="F5">
        <f t="shared" ref="F5:F10" si="0">D5/D3</f>
        <v>1.8492103098426991</v>
      </c>
    </row>
    <row r="6" spans="1:6" x14ac:dyDescent="0.4">
      <c r="A6">
        <v>2023</v>
      </c>
      <c r="B6">
        <v>6</v>
      </c>
      <c r="C6">
        <v>404990</v>
      </c>
      <c r="D6">
        <v>8613348459</v>
      </c>
      <c r="E6">
        <v>8613348459</v>
      </c>
      <c r="F6">
        <f t="shared" si="0"/>
        <v>1.1146751241437183</v>
      </c>
    </row>
    <row r="7" spans="1:6" x14ac:dyDescent="0.4">
      <c r="A7">
        <v>2023</v>
      </c>
      <c r="B7">
        <v>12</v>
      </c>
      <c r="C7">
        <v>404990</v>
      </c>
      <c r="D7">
        <v>9561832888</v>
      </c>
      <c r="E7">
        <v>9561832888</v>
      </c>
      <c r="F7">
        <f t="shared" si="0"/>
        <v>0.97945035600724861</v>
      </c>
    </row>
    <row r="8" spans="1:6" x14ac:dyDescent="0.4">
      <c r="A8">
        <v>2024</v>
      </c>
      <c r="B8">
        <v>6</v>
      </c>
      <c r="C8">
        <v>404990</v>
      </c>
      <c r="D8">
        <v>1984048882</v>
      </c>
      <c r="E8">
        <f>E6*F7</f>
        <v>8436347214.582036</v>
      </c>
      <c r="F8">
        <f t="shared" si="0"/>
        <v>0.23034582792559466</v>
      </c>
    </row>
    <row r="9" spans="1:6" x14ac:dyDescent="0.4">
      <c r="A9">
        <v>2024</v>
      </c>
      <c r="B9">
        <v>12</v>
      </c>
      <c r="C9">
        <v>404990</v>
      </c>
      <c r="D9">
        <v>9107005430</v>
      </c>
      <c r="E9">
        <v>9107005430</v>
      </c>
      <c r="F9">
        <f t="shared" si="0"/>
        <v>0.95243302583014144</v>
      </c>
    </row>
    <row r="10" spans="1:6" x14ac:dyDescent="0.4">
      <c r="A10">
        <v>2025</v>
      </c>
      <c r="B10">
        <v>6</v>
      </c>
      <c r="C10">
        <v>404990</v>
      </c>
      <c r="D10">
        <v>515066584</v>
      </c>
      <c r="E10">
        <f>E8*F9</f>
        <v>8035055704.5380545</v>
      </c>
      <c r="F10">
        <f t="shared" si="0"/>
        <v>0.25960377724201655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리츠</vt:lpstr>
      <vt:lpstr>데이터셋</vt:lpstr>
      <vt:lpstr>Sheet2</vt:lpstr>
      <vt:lpstr>날짜 계산기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Otto Choi</dc:creator>
  <cp:lastModifiedBy>Moira Wide</cp:lastModifiedBy>
  <dcterms:created xsi:type="dcterms:W3CDTF">2015-06-05T18:19:34Z</dcterms:created>
  <dcterms:modified xsi:type="dcterms:W3CDTF">2025-11-23T12:48:00Z</dcterms:modified>
</cp:coreProperties>
</file>